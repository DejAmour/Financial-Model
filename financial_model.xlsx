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cenarios" sheetId="2" state="visible" r:id="rId2"/>
    <sheet name="Income Statement" sheetId="3" state="visible" r:id="rId3"/>
    <sheet name="Balance Sheet" sheetId="4" state="visible" r:id="rId4"/>
    <sheet name="Cash Flow" sheetId="5" state="visible" r:id="rId5"/>
  </sheets>
  <definedNames>
    <definedName name="_xlnm.Print_Titles" localSheetId="0">'Assumptions'!$1:$3</definedName>
    <definedName name="_xlnm.Print_Titles" localSheetId="1">'Scenarios'!$1:$3</definedName>
    <definedName name="_xlnm.Print_Titles" localSheetId="2">'Income Statement'!$1:$3</definedName>
    <definedName name="_xlnm.Print_Titles" localSheetId="3">'Balance Sheet'!$1:$3</definedName>
    <definedName name="_xlnm.Print_Titles" localSheetId="4">'Cash Flow'!$1:$3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£#,##0.00"/>
    <numFmt numFmtId="166" formatCode="£#,##0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563C1"/>
      <sz val="10"/>
      <u val="single"/>
    </font>
    <font>
      <name val="Calibri"/>
      <i val="1"/>
      <color rgb="00FF0000"/>
      <sz val="10"/>
    </font>
    <font>
      <name val="Calibri"/>
      <color rgb="00008000"/>
      <sz val="10"/>
    </font>
    <font>
      <name val="Calibri"/>
      <b val="1"/>
      <i val="1"/>
      <color rgb="001F4E79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6" fontId="3" fillId="0" borderId="0" applyAlignment="1" pivotButton="0" quotePrefix="0" xfId="0">
      <alignment horizontal="right" vertical="center"/>
    </xf>
    <xf numFmtId="167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4" fontId="3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1" fillId="2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horizontal="right" vertical="center"/>
    </xf>
    <xf numFmtId="0" fontId="8" fillId="4" borderId="0" pivotButton="0" quotePrefix="0" xfId="0"/>
    <xf numFmtId="0" fontId="0" fillId="4" borderId="0" pivotButton="0" quotePrefix="0" xfId="0"/>
    <xf numFmtId="166" fontId="4" fillId="4" borderId="0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0" fontId="2" fillId="0" borderId="0" pivotButton="0" quotePrefix="0" xfId="0"/>
    <xf numFmtId="0" fontId="4" fillId="0" borderId="0" pivotButton="0" quotePrefix="0" xfId="0"/>
    <xf numFmtId="166" fontId="4" fillId="4" borderId="1" applyAlignment="1" pivotButton="0" quotePrefix="0" xfId="0">
      <alignment horizontal="right" vertical="center"/>
    </xf>
    <xf numFmtId="166" fontId="4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Joule Model</author>
  </authors>
  <commentList>
    <comment ref="C7" authorId="0" shapeId="0">
      <text>
        <t>Upfront fee: 2% charged on total funds raised in that year.
Source: Company fee schedule.</t>
      </text>
    </comment>
    <comment ref="C8" authorId="0" shapeId="0">
      <text>
        <t>Completion fee: 0.5% of total project funds raised, recognised
evenly (straight-line) over the 3-year project build period.
Annual recognition = 0.5% / 3 = 0.1667% per year.</t>
      </text>
    </comment>
    <comment ref="C11" authorId="0" shapeId="0">
      <text>
        <t>kWh Revenue Calculation Basis (Source: UK DESNZ):
Wind turbine: 2-3 MW capacity, 6,000-8,000 MWh/yr output.
Midpoints used: 2.5 MW, 7,000 MWh, £3.3M cost per turbine.
Formula: Funds ÷ £3.3M × 7,000 MWh × £0.01/kWh ≈ 2.12% of Funds p.a.
See UK DESNZ LCOE estimates: https://www.gov.uk/government/collections/energy-statistics</t>
      </text>
    </comment>
    <comment ref="C12" authorId="0" shapeId="0">
      <text>
        <t>kWh contracts are assumed to run for 10 years post-completion.
This model forecasts only 5 years; kWh revenue continues beyond the
model period and is not captured here.</t>
      </text>
    </comment>
    <comment ref="C16" authorId="0" shapeId="0">
      <text>
        <t>Base case: 3 projects × £6M avg raise = £18M
2027: 7 × £8M = £56M | 2028: 15 × £10M = £150M
2029: 24 × £13M = £312M | 2030: 36 × £16M = £576M</t>
      </text>
    </comment>
    <comment ref="C19" authorId="0" shapeId="0">
      <text>
        <t>Worst case = Base × 0.6  (40% haircut on Funds Raised)</t>
      </text>
    </comment>
    <comment ref="C20" authorId="0" shapeId="0">
      <text>
        <t>Best case  = Base × 1.4  (40% uplift on Funds Raised)</t>
      </text>
    </comment>
    <comment ref="C48" authorId="0" shapeId="0">
      <text>
        <t>UK HMRC Loss Carry-Forward Rules (post-April 2017):
Trading losses may be carried forward indefinitely.
From 1 April 2017, losses can only offset up to 50% of annual
profits exceeding £5M (the deductions allowance). This model
applies the £5M annual deduction limit as a simplification.
Source: HMRC CTM04800 / Finance Act 2017.</t>
      </text>
    </comment>
  </commentList>
</comments>
</file>

<file path=xl/comments/comment2.xml><?xml version="1.0" encoding="utf-8"?>
<comments xmlns="http://schemas.openxmlformats.org/spreadsheetml/2006/main">
  <authors>
    <author>Joule Model</author>
  </authors>
  <commentList>
    <comment ref="A6" authorId="0" shapeId="0">
      <text>
        <t>Driven by scenario selector on Assumptions tab.
References Scenarios!C12:G12 (active scenario row).</t>
      </text>
    </comment>
    <comment ref="A8" authorId="0" shapeId="0">
      <text>
        <t>Completion fee = 0.5% of project funds raised.
Recognised straight-line over 3-year build.
Annual recognition: (0.5% / 3) × sum of active cohorts.
Year 1: 1/3 × 0.5% × Funds_2026
Year 2: 1/3 × 0.5% × (Funds_2026 + Funds_2027)
Year 3: 1/3 × 0.5% × (Funds_2026 + Funds_2027 + Funds_2028)
Year 4: 1/3 × 0.5% × (Funds_2027 + Funds_2028 + Funds_2029)
Year 5: 1/3 × 0.5% × (Funds_2028 + Funds_2029 + Funds_2030)</t>
      </text>
    </comment>
    <comment ref="A9" authorId="0" shapeId="0">
      <text>
        <t>kWh revenue starts the year after project completion (3-year build).
Y1 projects complete at end of 2028, so kWh starts in 2029.
2026-2028: £0 (no completed projects yet)
2029: 2.12% × Funds_2026 (2026 cohort now generating)
2030: 2.12% × (Funds_2026 + Funds_2027) (both cohorts generating)
kWh contract duration: 10 years. Model shows 5 years only.</t>
      </text>
    </comment>
    <comment ref="A29" authorId="0" shapeId="0">
      <text>
        <t>UK Corporation Tax: Small Profits Rate 19% (profits ≤ £50K),
Main Rate 25% (profits &gt; £250K), marginal relief in between.
Tax paid 9 months after year-end (modelled as next-year cash outflow).
Loss carry-forward: unlimited duration; £5M annual deduction limit.
Source: HMRC CTM04800 / Finance Act 2017.</t>
      </text>
    </comment>
    <comment ref="A33" authorId="0" shapeId="0">
      <text>
        <t>UK Corp Tax with marginal relief:
  ≤ £50K: 19% × Profit
  £50K–£250K: 25% × P − (£250K − P) × 3/200
  &gt; £250K: 25% × Profit</t>
      </text>
    </comment>
  </commentList>
</comments>
</file>

<file path=xl/comments/comment3.xml><?xml version="1.0" encoding="utf-8"?>
<comments xmlns="http://schemas.openxmlformats.org/spreadsheetml/2006/main">
  <authors>
    <author>Joule Model</author>
  </authors>
  <commentList>
    <comment ref="A7" authorId="0" shapeId="0">
      <text>
        <t>DSO = 45 days (from Assumptions!C55)</t>
      </text>
    </comment>
    <comment ref="A12" authorId="0" shapeId="0">
      <text>
        <t>DPO = 30 days (from Assumptions!C56)</t>
      </text>
    </comment>
    <comment ref="A13" authorId="0" shapeId="0">
      <text>
        <t>Tax paid 9 months after year-end.
Current year tax provision = liability on Balance Sheet.
Cash payment shown as prior-year outflow in Cash Flow.</t>
      </text>
    </comment>
    <comment ref="C22" authorId="0" shapeId="0">
      <text>
        <t>Balance Check = Total Assets − Total Liabilities − Total Equity.
Should equal £0 in every column.
Non-zero indicates a formula error — check Cash Flow linkage.</t>
      </text>
    </comment>
  </commentList>
</comments>
</file>

<file path=xl/comments/comment4.xml><?xml version="1.0" encoding="utf-8"?>
<comments xmlns="http://schemas.openxmlformats.org/spreadsheetml/2006/main">
  <authors>
    <author>Joule Model</author>
  </authors>
  <commentList>
    <comment ref="A7" authorId="0" shapeId="0">
      <text>
        <t>Cash impact: −(Current AR − Prior AR)
Increase in AR = customers owe more = cash not yet received.</t>
      </text>
    </comment>
    <comment ref="A8" authorId="0" shapeId="0">
      <text>
        <t>Cash impact: Current AP − Prior AP
Increase in AP = owing more to suppliers = cash retained.</t>
      </text>
    </comment>
    <comment ref="A9" authorId="0" shapeId="0">
      <text>
        <t>Indirect method tax adjustment:
+ Current year tax provision  (non-cash deduction — not yet paid)
− Prior year tax provision  (now settled in cash, 9-month lag)
Net = change in Tax Payable balance.
This ensures the Balance Sheet balances correctly.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6" customWidth="1" min="8" max="8"/>
  </cols>
  <sheetData>
    <row r="1" ht="24" customHeight="1">
      <c r="A1" s="1" t="inlineStr">
        <is>
          <t>JOULE FINANCIAL MODEL — ASSUMPTIONS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1" t="inlineStr">
        <is>
          <t>SCENARIO SELECTOR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Select Scenario:</t>
        </is>
      </c>
      <c r="C4" s="4" t="inlineStr">
        <is>
          <t>Base</t>
        </is>
      </c>
      <c r="H4" s="3" t="inlineStr">
        <is>
          <t>Choose: Worst / Base / Best  (affects Total Funds Raised only)</t>
        </is>
      </c>
    </row>
    <row r="6">
      <c r="A6" s="1" t="inlineStr">
        <is>
          <t>FEE STRUCTURE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3" t="inlineStr">
        <is>
          <t>Upfront Fee Rate (% of Funds Raised)</t>
        </is>
      </c>
      <c r="C7" s="5" t="n">
        <v>0.02</v>
      </c>
    </row>
    <row r="8">
      <c r="A8" s="3" t="inlineStr">
        <is>
          <t>Completion Fee Rate (% of Funds Raised, total)</t>
        </is>
      </c>
      <c r="C8" s="5" t="n">
        <v>0.005</v>
      </c>
    </row>
    <row r="9">
      <c r="A9" s="3" t="inlineStr">
        <is>
          <t>Project Completion Time (Years, straight-line spread)</t>
        </is>
      </c>
      <c r="C9" s="6" t="n">
        <v>3</v>
      </c>
    </row>
    <row r="10">
      <c r="A10" s="3" t="inlineStr">
        <is>
          <t>kWh Fee Rate (£ per kWh)</t>
        </is>
      </c>
      <c r="C10" s="7" t="n">
        <v>0.01</v>
      </c>
    </row>
    <row r="11">
      <c r="A11" s="3" t="inlineStr">
        <is>
          <t>kWh Revenue Rate (% of Funds Raised, annual recurring)</t>
        </is>
      </c>
      <c r="C11" s="5" t="n">
        <v>0.0212</v>
      </c>
    </row>
    <row r="12">
      <c r="A12" s="3" t="inlineStr">
        <is>
          <t>kWh Contract Duration (Years, model shows 5 years only)</t>
        </is>
      </c>
      <c r="C12" s="6" t="n">
        <v>10</v>
      </c>
    </row>
    <row r="14">
      <c r="A14" s="1" t="inlineStr">
        <is>
          <t>BASE CASE — TOTAL FUNDS RAISED PER YEAR</t>
        </is>
      </c>
      <c r="B14" s="2" t="n"/>
      <c r="C14" s="2" t="n"/>
      <c r="D14" s="2" t="n"/>
      <c r="E14" s="2" t="n"/>
      <c r="F14" s="2" t="n"/>
      <c r="G14" s="2" t="n"/>
      <c r="H14" s="2" t="n"/>
    </row>
    <row r="15">
      <c r="A15" s="8" t="inlineStr">
        <is>
          <t>Year →</t>
        </is>
      </c>
      <c r="C15" s="9" t="n">
        <v>2026</v>
      </c>
      <c r="D15" s="9" t="n">
        <v>2027</v>
      </c>
      <c r="E15" s="9" t="n">
        <v>2028</v>
      </c>
      <c r="F15" s="9" t="n">
        <v>2029</v>
      </c>
      <c r="G15" s="9" t="n">
        <v>2030</v>
      </c>
    </row>
    <row r="16">
      <c r="A16" s="3" t="inlineStr">
        <is>
          <t>Total Funds Raised (Base Case)</t>
        </is>
      </c>
      <c r="C16" s="10" t="n">
        <v>18000000</v>
      </c>
      <c r="D16" s="10" t="n">
        <v>56000000</v>
      </c>
      <c r="E16" s="10" t="n">
        <v>150000000</v>
      </c>
      <c r="F16" s="10" t="n">
        <v>312000000</v>
      </c>
      <c r="G16" s="10" t="n">
        <v>576000000</v>
      </c>
    </row>
    <row r="18">
      <c r="A18" s="1" t="inlineStr">
        <is>
          <t>SCENARIO MULTIPLIERS (applied to Total Funds Raised)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3" t="inlineStr">
        <is>
          <t>Worst Case Multiplier</t>
        </is>
      </c>
      <c r="C19" s="11" t="n">
        <v>0.6</v>
      </c>
    </row>
    <row r="20">
      <c r="A20" s="3" t="inlineStr">
        <is>
          <t>Best Case Multiplier</t>
        </is>
      </c>
      <c r="C20" s="11" t="n">
        <v>1.4</v>
      </c>
    </row>
    <row r="22">
      <c r="A22" s="1" t="inlineStr">
        <is>
          <t>COST OF GOODS SOLD (COGS)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8" t="inlineStr">
        <is>
          <t>Year →</t>
        </is>
      </c>
      <c r="C23" s="9" t="n">
        <v>2026</v>
      </c>
      <c r="D23" s="9" t="n">
        <v>2027</v>
      </c>
      <c r="E23" s="9" t="n">
        <v>2028</v>
      </c>
      <c r="F23" s="9" t="n">
        <v>2029</v>
      </c>
      <c r="G23" s="9" t="n">
        <v>2030</v>
      </c>
    </row>
    <row r="24">
      <c r="A24" s="3" t="inlineStr">
        <is>
          <t>Smart Contract Deployment &amp; Audits (£)</t>
        </is>
      </c>
      <c r="C24" s="10" t="n">
        <v>185000</v>
      </c>
      <c r="D24" s="10" t="n">
        <v>170000</v>
      </c>
      <c r="E24" s="10" t="n">
        <v>105000</v>
      </c>
      <c r="F24" s="10" t="n">
        <v>115000</v>
      </c>
      <c r="G24" s="10" t="n">
        <v>130000</v>
      </c>
    </row>
    <row r="25">
      <c r="A25" s="3" t="inlineStr">
        <is>
          <t>Hosting &amp; API Costs (% of Gross Revenue)</t>
        </is>
      </c>
      <c r="C25" s="5" t="n">
        <v>0.015</v>
      </c>
      <c r="D25" s="3" t="inlineStr">
        <is>
          <t>(same % applies each year)</t>
        </is>
      </c>
    </row>
    <row r="27">
      <c r="A27" s="1" t="inlineStr">
        <is>
          <t>OPERATING EXPENSES — YEAR 1 / 2026 (HARDCODED £)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3" t="inlineStr">
        <is>
          <t>Salaries</t>
        </is>
      </c>
      <c r="C28" s="10" t="n">
        <v>225000</v>
      </c>
    </row>
    <row r="29">
      <c r="A29" s="3" t="inlineStr">
        <is>
          <t>Marketing &amp; Growth</t>
        </is>
      </c>
      <c r="C29" s="10" t="n">
        <v>50000</v>
      </c>
    </row>
    <row r="30">
      <c r="A30" s="3" t="inlineStr">
        <is>
          <t>Legal &amp; Regulatory</t>
        </is>
      </c>
      <c r="C30" s="10" t="n">
        <v>100000</v>
      </c>
    </row>
    <row r="31">
      <c r="A31" s="3" t="inlineStr">
        <is>
          <t>Insurance</t>
        </is>
      </c>
      <c r="C31" s="10" t="n">
        <v>20000</v>
      </c>
    </row>
    <row r="32">
      <c r="A32" s="3" t="inlineStr">
        <is>
          <t>R&amp;D</t>
        </is>
      </c>
      <c r="C32" s="10" t="n">
        <v>50000</v>
      </c>
    </row>
    <row r="34">
      <c r="A34" s="1" t="inlineStr">
        <is>
          <t>OPERATING EXPENSES — YEARS 2–5 (% OF GROSS REVENUE)</t>
        </is>
      </c>
      <c r="B34" s="2" t="n"/>
      <c r="C34" s="2" t="n"/>
      <c r="D34" s="2" t="n"/>
      <c r="E34" s="2" t="n"/>
      <c r="F34" s="2" t="n"/>
      <c r="G34" s="2" t="n"/>
      <c r="H34" s="2" t="n"/>
    </row>
    <row r="35">
      <c r="A35" s="8" t="inlineStr">
        <is>
          <t>Year →</t>
        </is>
      </c>
      <c r="D35" s="9" t="n">
        <v>2027</v>
      </c>
      <c r="E35" s="9" t="n">
        <v>2028</v>
      </c>
      <c r="F35" s="9" t="n">
        <v>2029</v>
      </c>
      <c r="G35" s="9" t="n">
        <v>2030</v>
      </c>
    </row>
    <row r="36">
      <c r="A36" s="3" t="inlineStr">
        <is>
          <t>Salaries %</t>
        </is>
      </c>
      <c r="D36" s="5" t="n">
        <v>0.25</v>
      </c>
      <c r="E36" s="5" t="n">
        <v>0.25</v>
      </c>
      <c r="F36" s="5" t="n">
        <v>0.25</v>
      </c>
      <c r="G36" s="5" t="n">
        <v>0.25</v>
      </c>
    </row>
    <row r="37">
      <c r="A37" s="3" t="inlineStr">
        <is>
          <t>Marketing &amp; Growth %</t>
        </is>
      </c>
      <c r="D37" s="5" t="n">
        <v>0.12</v>
      </c>
      <c r="E37" s="5" t="n">
        <v>0.07000000000000001</v>
      </c>
      <c r="F37" s="5" t="n">
        <v>0.07000000000000001</v>
      </c>
      <c r="G37" s="5" t="n">
        <v>0.07000000000000001</v>
      </c>
    </row>
    <row r="38">
      <c r="A38" s="3" t="inlineStr">
        <is>
          <t>Legal &amp; Regulatory %</t>
        </is>
      </c>
      <c r="D38" s="5" t="n">
        <v>0.08</v>
      </c>
      <c r="E38" s="5" t="n">
        <v>0.08</v>
      </c>
      <c r="F38" s="5" t="n">
        <v>0.08</v>
      </c>
      <c r="G38" s="5" t="n">
        <v>0.08</v>
      </c>
    </row>
    <row r="39">
      <c r="A39" s="3" t="inlineStr">
        <is>
          <t>Insurance %</t>
        </is>
      </c>
      <c r="D39" s="5" t="n">
        <v>0.02</v>
      </c>
      <c r="E39" s="5" t="n">
        <v>0.01</v>
      </c>
      <c r="F39" s="5" t="n">
        <v>0.01</v>
      </c>
      <c r="G39" s="5" t="n">
        <v>0.01</v>
      </c>
    </row>
    <row r="40">
      <c r="A40" s="3" t="inlineStr">
        <is>
          <t>R&amp;D %</t>
        </is>
      </c>
      <c r="D40" s="5" t="n">
        <v>0.19</v>
      </c>
      <c r="E40" s="5" t="n">
        <v>0.11</v>
      </c>
      <c r="F40" s="5" t="n">
        <v>0.05</v>
      </c>
      <c r="G40" s="5" t="n">
        <v>0.05</v>
      </c>
    </row>
    <row r="42">
      <c r="A42" s="1" t="inlineStr">
        <is>
          <t>TAX ASSUMPTIONS</t>
        </is>
      </c>
      <c r="B42" s="2" t="n"/>
      <c r="C42" s="2" t="n"/>
      <c r="D42" s="2" t="n"/>
      <c r="E42" s="2" t="n"/>
      <c r="F42" s="2" t="n"/>
      <c r="G42" s="2" t="n"/>
      <c r="H42" s="2" t="n"/>
    </row>
    <row r="43">
      <c r="A43" s="3" t="inlineStr">
        <is>
          <t>Small Profits Rate (profits ≤ £50,000)</t>
        </is>
      </c>
      <c r="C43" s="5" t="n">
        <v>0.19</v>
      </c>
    </row>
    <row r="44">
      <c r="A44" s="3" t="inlineStr">
        <is>
          <t>Main Rate (profits &gt; £250,000)</t>
        </is>
      </c>
      <c r="C44" s="5" t="n">
        <v>0.25</v>
      </c>
    </row>
    <row r="45">
      <c r="A45" s="3" t="inlineStr">
        <is>
          <t>Lower Profits Threshold (£)</t>
        </is>
      </c>
      <c r="C45" s="12" t="n">
        <v>50000</v>
      </c>
    </row>
    <row r="46">
      <c r="A46" s="3" t="inlineStr">
        <is>
          <t>Upper Profits Threshold (£)</t>
        </is>
      </c>
      <c r="C46" s="12" t="n">
        <v>250000</v>
      </c>
    </row>
    <row r="47">
      <c r="A47" s="3" t="inlineStr">
        <is>
          <t>Tax Payment Lag (months after year-end)</t>
        </is>
      </c>
      <c r="C47" s="6" t="n">
        <v>9</v>
      </c>
    </row>
    <row r="48">
      <c r="A48" s="3" t="inlineStr">
        <is>
          <t>Loss Carry-Forward Annual Deduction Limit (£)</t>
        </is>
      </c>
      <c r="C48" s="12" t="n">
        <v>5000000</v>
      </c>
    </row>
    <row r="50">
      <c r="A50" s="1" t="inlineStr">
        <is>
          <t>EQUITY RAISES</t>
        </is>
      </c>
      <c r="B50" s="2" t="n"/>
      <c r="C50" s="2" t="n"/>
      <c r="D50" s="2" t="n"/>
      <c r="E50" s="2" t="n"/>
      <c r="F50" s="2" t="n"/>
      <c r="G50" s="2" t="n"/>
      <c r="H50" s="2" t="n"/>
    </row>
    <row r="51">
      <c r="A51" s="8" t="inlineStr">
        <is>
          <t>Year →</t>
        </is>
      </c>
      <c r="C51" s="9" t="n">
        <v>2026</v>
      </c>
      <c r="D51" s="9" t="n">
        <v>2027</v>
      </c>
      <c r="E51" s="9" t="n">
        <v>2028</v>
      </c>
      <c r="F51" s="9" t="n">
        <v>2029</v>
      </c>
      <c r="G51" s="9" t="n">
        <v>2030</v>
      </c>
    </row>
    <row r="52">
      <c r="A52" s="3" t="inlineStr">
        <is>
          <t>Equity Raised (£)</t>
        </is>
      </c>
      <c r="C52" s="10" t="n">
        <v>500000</v>
      </c>
      <c r="D52" s="10" t="n">
        <v>1500000</v>
      </c>
      <c r="E52" s="10" t="n">
        <v>4000000</v>
      </c>
      <c r="F52" s="10" t="n">
        <v>0</v>
      </c>
      <c r="G52" s="10" t="n">
        <v>9000000</v>
      </c>
    </row>
    <row r="54">
      <c r="A54" s="1" t="inlineStr">
        <is>
          <t>WORKING CAPITAL</t>
        </is>
      </c>
      <c r="B54" s="2" t="n"/>
      <c r="C54" s="2" t="n"/>
      <c r="D54" s="2" t="n"/>
      <c r="E54" s="2" t="n"/>
      <c r="F54" s="2" t="n"/>
      <c r="G54" s="2" t="n"/>
      <c r="H54" s="2" t="n"/>
    </row>
    <row r="55">
      <c r="A55" s="3" t="inlineStr">
        <is>
          <t>Days Sales Outstanding / DSO (days)</t>
        </is>
      </c>
      <c r="C55" s="6" t="n">
        <v>45</v>
      </c>
    </row>
    <row r="56">
      <c r="A56" s="3" t="inlineStr">
        <is>
          <t>Days Payable Outstanding / DPO (days)</t>
        </is>
      </c>
      <c r="C56" s="6" t="n">
        <v>30</v>
      </c>
    </row>
    <row r="58">
      <c r="A58" s="1" t="inlineStr">
        <is>
          <t>OPENING BALANCES</t>
        </is>
      </c>
      <c r="B58" s="2" t="n"/>
      <c r="C58" s="2" t="n"/>
      <c r="D58" s="2" t="n"/>
      <c r="E58" s="2" t="n"/>
      <c r="F58" s="2" t="n"/>
      <c r="G58" s="2" t="n"/>
      <c r="H58" s="2" t="n"/>
    </row>
    <row r="59">
      <c r="A59" s="3" t="inlineStr">
        <is>
          <t>Opening Cash (before first equity raise, 2026)</t>
        </is>
      </c>
      <c r="C59" s="10" t="n">
        <v>0</v>
      </c>
      <c r="D59" s="3" t="inlineStr">
        <is>
          <t>Note: Y1 equity raise (£500K) provides initial operating cash (shown in Financing)</t>
        </is>
      </c>
    </row>
    <row r="61">
      <c r="A61" s="1" t="inlineStr">
        <is>
          <t>OTHER ASSUMPTIONS</t>
        </is>
      </c>
      <c r="B61" s="2" t="n"/>
      <c r="C61" s="2" t="n"/>
      <c r="D61" s="2" t="n"/>
      <c r="E61" s="2" t="n"/>
      <c r="F61" s="2" t="n"/>
      <c r="G61" s="2" t="n"/>
      <c r="H61" s="2" t="n"/>
    </row>
    <row r="62">
      <c r="A62" s="3" t="inlineStr">
        <is>
          <t>Capital Expenditure / CapEx (£)</t>
        </is>
      </c>
      <c r="C62" s="10" t="n">
        <v>0</v>
      </c>
      <c r="D62" s="3" t="inlineStr">
        <is>
          <t>Asset-light model; no CapEx planned</t>
        </is>
      </c>
    </row>
    <row r="63">
      <c r="A63" s="3" t="inlineStr">
        <is>
          <t>Project Attrition Rate (%)</t>
        </is>
      </c>
      <c r="C63" s="13" t="inlineStr"/>
      <c r="D63" s="3" t="inlineStr">
        <is>
          <t>Placeholder — leave blank. To be populated in future model iterations.</t>
        </is>
      </c>
    </row>
    <row r="65">
      <c r="A65" s="1" t="inlineStr">
        <is>
          <t>kWh REVENUE CALCULATION BASIS  (Source: UK DESNZ)</t>
        </is>
      </c>
      <c r="B65" s="2" t="n"/>
      <c r="C65" s="2" t="n"/>
      <c r="D65" s="2" t="n"/>
      <c r="E65" s="2" t="n"/>
      <c r="F65" s="2" t="n"/>
      <c r="G65" s="2" t="n"/>
      <c r="H65" s="2" t="n"/>
    </row>
    <row r="66">
      <c r="A66" s="3" t="inlineStr">
        <is>
          <t>Wind Turbine Capacity (MW, midpoint of 2–3 MW)</t>
        </is>
      </c>
      <c r="C66" s="11" t="n">
        <v>2.5</v>
      </c>
    </row>
    <row r="67">
      <c r="A67" s="3" t="inlineStr">
        <is>
          <t>Annual Output per Turbine (MWh, midpoint of 6,000–8,000)</t>
        </is>
      </c>
      <c r="C67" s="6" t="n">
        <v>7000</v>
      </c>
    </row>
    <row r="68">
      <c r="A68" s="3" t="inlineStr">
        <is>
          <t>Average Cost per Turbine (£, midpoint of £2.6M–£4M)</t>
        </is>
      </c>
      <c r="C68" s="12" t="n">
        <v>3300000</v>
      </c>
    </row>
    <row r="69">
      <c r="A69" s="8" t="inlineStr">
        <is>
          <t>kWh Revenue Formula:</t>
        </is>
      </c>
      <c r="C69" s="3" t="inlineStr">
        <is>
          <t>Funds Raised ÷ £3.3M × 7,000 MWh × £0.01/kWh  =  2.12% of Funds Raised p.a.</t>
        </is>
      </c>
    </row>
    <row r="70">
      <c r="A70" s="8" t="inlineStr">
        <is>
          <t>Reference:</t>
        </is>
      </c>
      <c r="C70" s="14" t="inlineStr">
        <is>
          <t>UK DESNZ LCOE estimates — https://www.gov.uk/government/collections/energy-statistics</t>
        </is>
      </c>
    </row>
    <row r="71">
      <c r="A71" s="15" t="inlineStr">
        <is>
          <t>Note: kWh contracts assumed 10 years; model period = 5 years only. Ongoing revenues not modelled beyond 2030.</t>
        </is>
      </c>
    </row>
  </sheetData>
  <mergeCells count="3">
    <mergeCell ref="C69:H69"/>
    <mergeCell ref="A71:H71"/>
    <mergeCell ref="C70:H70"/>
  </mergeCells>
  <dataValidations count="1">
    <dataValidation sqref="C4" showDropDown="0" showInputMessage="0" showErrorMessage="1" allowBlank="0" errorTitle="Invalid" error="Select Worst, Base, or Best" type="list">
      <formula1>"Worst,Base,Best"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0" customWidth="1" min="8" max="8"/>
  </cols>
  <sheetData>
    <row r="1" ht="24" customHeight="1">
      <c r="A1" s="16" t="inlineStr">
        <is>
          <t>SCENARIOS — TOTAL FUNDS RAISED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Scenarios only affect Total Funds Raised. All other assumptions remain constant.</t>
        </is>
      </c>
    </row>
    <row r="4">
      <c r="A4" s="1" t="inlineStr">
        <is>
          <t>SCENARIO DATA TABLE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18" t="inlineStr">
        <is>
          <t>Scenario</t>
        </is>
      </c>
      <c r="B5" s="8" t="inlineStr">
        <is>
          <t>Description</t>
        </is>
      </c>
      <c r="C5" s="9" t="n">
        <v>2026</v>
      </c>
      <c r="D5" s="9" t="n">
        <v>2027</v>
      </c>
      <c r="E5" s="9" t="n">
        <v>2028</v>
      </c>
      <c r="F5" s="9" t="n">
        <v>2029</v>
      </c>
      <c r="G5" s="9" t="n">
        <v>2030</v>
      </c>
      <c r="H5" s="18" t="inlineStr">
        <is>
          <t>Multiplier</t>
        </is>
      </c>
    </row>
    <row r="6">
      <c r="A6" s="4" t="inlineStr">
        <is>
          <t>Worst</t>
        </is>
      </c>
      <c r="B6" s="3" t="inlineStr">
        <is>
          <t>Base × 0.6  (40% reduction in Funds Raised)</t>
        </is>
      </c>
      <c r="C6" s="19">
        <f>Assumptions!C16*Assumptions!C19</f>
        <v/>
      </c>
      <c r="D6" s="19">
        <f>Assumptions!D16*Assumptions!C19</f>
        <v/>
      </c>
      <c r="E6" s="19">
        <f>Assumptions!E16*Assumptions!C19</f>
        <v/>
      </c>
      <c r="F6" s="19">
        <f>Assumptions!F16*Assumptions!C19</f>
        <v/>
      </c>
      <c r="G6" s="19">
        <f>Assumptions!G16*Assumptions!C19</f>
        <v/>
      </c>
      <c r="H6" s="20" t="inlineStr">
        <is>
          <t>0.6</t>
        </is>
      </c>
    </row>
    <row r="7">
      <c r="A7" s="4" t="inlineStr">
        <is>
          <t>Base</t>
        </is>
      </c>
      <c r="B7" s="3" t="inlineStr">
        <is>
          <t>Central assumption — as per business plan</t>
        </is>
      </c>
      <c r="C7" s="19">
        <f>Assumptions!C16</f>
        <v/>
      </c>
      <c r="D7" s="19">
        <f>Assumptions!D16</f>
        <v/>
      </c>
      <c r="E7" s="19">
        <f>Assumptions!E16</f>
        <v/>
      </c>
      <c r="F7" s="19">
        <f>Assumptions!F16</f>
        <v/>
      </c>
      <c r="G7" s="19">
        <f>Assumptions!G16</f>
        <v/>
      </c>
      <c r="H7" s="20" t="inlineStr">
        <is>
          <t>1.0</t>
        </is>
      </c>
    </row>
    <row r="8">
      <c r="A8" s="4" t="inlineStr">
        <is>
          <t>Best</t>
        </is>
      </c>
      <c r="B8" s="3" t="inlineStr">
        <is>
          <t>Base × 1.4  (40% uplift in Funds Raised)</t>
        </is>
      </c>
      <c r="C8" s="19">
        <f>Assumptions!C16*Assumptions!C20</f>
        <v/>
      </c>
      <c r="D8" s="19">
        <f>Assumptions!D16*Assumptions!C20</f>
        <v/>
      </c>
      <c r="E8" s="19">
        <f>Assumptions!E16*Assumptions!C20</f>
        <v/>
      </c>
      <c r="F8" s="19">
        <f>Assumptions!F16*Assumptions!C20</f>
        <v/>
      </c>
      <c r="G8" s="19">
        <f>Assumptions!G16*Assumptions!C20</f>
        <v/>
      </c>
      <c r="H8" s="20" t="inlineStr">
        <is>
          <t>1.4</t>
        </is>
      </c>
    </row>
    <row r="10">
      <c r="A10" s="1" t="inlineStr">
        <is>
          <t>ACTIVE SCENARIO (driven by Assumptions!C4 dropdown)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8" t="inlineStr">
        <is>
          <t>Scenario →</t>
        </is>
      </c>
      <c r="B11" s="21">
        <f>Assumptions!C4</f>
        <v/>
      </c>
    </row>
    <row r="12" ht="16" customHeight="1">
      <c r="A12" s="8" t="inlineStr">
        <is>
          <t>Funds Raised</t>
        </is>
      </c>
      <c r="B12" s="3" t="inlineStr">
        <is>
          <t>(Active)</t>
        </is>
      </c>
      <c r="C12" s="19">
        <f>INDEX($C$6:$G$8,MATCH(Assumptions!$C$4,$A$6:$A$8,0),1)</f>
        <v/>
      </c>
      <c r="D12" s="19">
        <f>INDEX($C$6:$G$8,MATCH(Assumptions!$C$4,$A$6:$A$8,0),2)</f>
        <v/>
      </c>
      <c r="E12" s="19">
        <f>INDEX($C$6:$G$8,MATCH(Assumptions!$C$4,$A$6:$A$8,0),3)</f>
        <v/>
      </c>
      <c r="F12" s="19">
        <f>INDEX($C$6:$G$8,MATCH(Assumptions!$C$4,$A$6:$A$8,0),4)</f>
        <v/>
      </c>
      <c r="G12" s="19">
        <f>INDEX($C$6:$G$8,MATCH(Assumptions!$C$4,$A$6:$A$8,0),5)</f>
        <v/>
      </c>
    </row>
  </sheetData>
  <mergeCells count="1">
    <mergeCell ref="A2:H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4" customHeight="1">
      <c r="A1" s="16" t="inlineStr">
        <is>
          <t>INCOME STATEMENT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All figures in GBP (£)</t>
        </is>
      </c>
    </row>
    <row r="3">
      <c r="A3" s="8" t="inlineStr">
        <is>
          <t>Year →</t>
        </is>
      </c>
      <c r="C3" s="9" t="n">
        <v>2026</v>
      </c>
      <c r="D3" s="9" t="n">
        <v>2027</v>
      </c>
      <c r="E3" s="9" t="n">
        <v>2028</v>
      </c>
      <c r="F3" s="9" t="n">
        <v>2029</v>
      </c>
      <c r="G3" s="9" t="n">
        <v>2030</v>
      </c>
    </row>
    <row r="5">
      <c r="A5" s="1" t="inlineStr">
        <is>
          <t>REVENUE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1" t="inlineStr">
        <is>
          <t>Total Funds Raised (Active Scenario)</t>
        </is>
      </c>
      <c r="C6" s="19">
        <f>Scenarios!C12</f>
        <v/>
      </c>
      <c r="D6" s="19">
        <f>Scenarios!D12</f>
        <v/>
      </c>
      <c r="E6" s="19">
        <f>Scenarios!E12</f>
        <v/>
      </c>
      <c r="F6" s="19">
        <f>Scenarios!F12</f>
        <v/>
      </c>
      <c r="G6" s="19">
        <f>Scenarios!G12</f>
        <v/>
      </c>
    </row>
    <row r="7">
      <c r="A7" s="3" t="inlineStr">
        <is>
          <t>Upfront Fee Revenue (2% of Funds Raised)</t>
        </is>
      </c>
      <c r="B7" s="20" t="inlineStr">
        <is>
          <t>→ IS</t>
        </is>
      </c>
      <c r="C7" s="22">
        <f>Assumptions!$C$7*'Income Statement'!C6</f>
        <v/>
      </c>
      <c r="D7" s="22">
        <f>Assumptions!$C$7*'Income Statement'!D6</f>
        <v/>
      </c>
      <c r="E7" s="22">
        <f>Assumptions!$C$7*'Income Statement'!E6</f>
        <v/>
      </c>
      <c r="F7" s="22">
        <f>Assumptions!$C$7*'Income Statement'!F6</f>
        <v/>
      </c>
      <c r="G7" s="22">
        <f>Assumptions!$C$7*'Income Statement'!G6</f>
        <v/>
      </c>
    </row>
    <row r="8">
      <c r="A8" s="3" t="inlineStr">
        <is>
          <t>Completion Fee Revenue (0.5% over 3-yr build, straight-line)</t>
        </is>
      </c>
      <c r="C8" s="22">
        <f>(Assumptions!$C$8/Assumptions!$C$9)*('Income Statement'!C6)</f>
        <v/>
      </c>
      <c r="D8" s="22">
        <f>(Assumptions!$C$8/Assumptions!$C$9)*('Income Statement'!C6+D6)</f>
        <v/>
      </c>
      <c r="E8" s="22">
        <f>(Assumptions!$C$8/Assumptions!$C$9)*('Income Statement'!C6+D6+E6)</f>
        <v/>
      </c>
      <c r="F8" s="22">
        <f>(Assumptions!$C$8/Assumptions!$C$9)*('Income Statement'!D6+E6+F6)</f>
        <v/>
      </c>
      <c r="G8" s="22">
        <f>(Assumptions!$C$8/Assumptions!$C$9)*('Income Statement'!E6+F6+G6)</f>
        <v/>
      </c>
    </row>
    <row r="9">
      <c r="A9" s="3" t="inlineStr">
        <is>
          <t>kWh Revenue (2.12% of Funds, 3-yr lag, cumulative cohorts)</t>
        </is>
      </c>
      <c r="C9" s="22" t="inlineStr">
        <is>
          <t>0</t>
        </is>
      </c>
      <c r="D9" s="22" t="inlineStr">
        <is>
          <t>0</t>
        </is>
      </c>
      <c r="E9" s="22" t="inlineStr">
        <is>
          <t>0</t>
        </is>
      </c>
      <c r="F9" s="22">
        <f>Assumptions!$C$11*'Income Statement'!C6</f>
        <v/>
      </c>
      <c r="G9" s="22">
        <f>Assumptions!$C$11*('Income Statement'!C6+'Income Statement'!D6)</f>
        <v/>
      </c>
    </row>
    <row r="10">
      <c r="A10" s="23" t="inlineStr">
        <is>
          <t>TOTAL GROSS REVENUE</t>
        </is>
      </c>
      <c r="B10" s="24" t="n"/>
      <c r="C10" s="25">
        <f>SUM('Income Statement'!C7:C9)</f>
        <v/>
      </c>
      <c r="D10" s="25">
        <f>SUM('Income Statement'!D7:D9)</f>
        <v/>
      </c>
      <c r="E10" s="25">
        <f>SUM('Income Statement'!E7:E9)</f>
        <v/>
      </c>
      <c r="F10" s="25">
        <f>SUM('Income Statement'!F7:F9)</f>
        <v/>
      </c>
      <c r="G10" s="25">
        <f>SUM('Income Statement'!G7:G9)</f>
        <v/>
      </c>
    </row>
    <row r="12">
      <c r="A12" s="1" t="inlineStr">
        <is>
          <t>COST OF GOODS SOLD (COGS)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1" t="inlineStr">
        <is>
          <t>Smart Contract Deployment &amp; Audits</t>
        </is>
      </c>
      <c r="C13" s="19">
        <f>Assumptions!C24</f>
        <v/>
      </c>
      <c r="D13" s="19">
        <f>Assumptions!D24</f>
        <v/>
      </c>
      <c r="E13" s="19">
        <f>Assumptions!E24</f>
        <v/>
      </c>
      <c r="F13" s="19">
        <f>Assumptions!F24</f>
        <v/>
      </c>
      <c r="G13" s="19">
        <f>Assumptions!G24</f>
        <v/>
      </c>
    </row>
    <row r="14">
      <c r="A14" s="3" t="inlineStr">
        <is>
          <t>Hosting &amp; API Costs (1.5% of Gross Revenue)</t>
        </is>
      </c>
      <c r="C14" s="22">
        <f>Assumptions!$C$25*'Income Statement'!C10</f>
        <v/>
      </c>
      <c r="D14" s="22">
        <f>Assumptions!$C$25*'Income Statement'!D10</f>
        <v/>
      </c>
      <c r="E14" s="22">
        <f>Assumptions!$C$25*'Income Statement'!E10</f>
        <v/>
      </c>
      <c r="F14" s="22">
        <f>Assumptions!$C$25*'Income Statement'!F10</f>
        <v/>
      </c>
      <c r="G14" s="22">
        <f>Assumptions!$C$25*'Income Statement'!G10</f>
        <v/>
      </c>
    </row>
    <row r="15">
      <c r="A15" s="23" t="inlineStr">
        <is>
          <t>TOTAL COGS</t>
        </is>
      </c>
      <c r="B15" s="24" t="n"/>
      <c r="C15" s="25">
        <f>SUM('Income Statement'!C13:C14)</f>
        <v/>
      </c>
      <c r="D15" s="25">
        <f>SUM('Income Statement'!D13:D14)</f>
        <v/>
      </c>
      <c r="E15" s="25">
        <f>SUM('Income Statement'!E13:E14)</f>
        <v/>
      </c>
      <c r="F15" s="25">
        <f>SUM('Income Statement'!F13:F14)</f>
        <v/>
      </c>
      <c r="G15" s="25">
        <f>SUM('Income Statement'!G13:G14)</f>
        <v/>
      </c>
    </row>
    <row r="17">
      <c r="A17" s="23" t="inlineStr">
        <is>
          <t>GROSS PROFIT</t>
        </is>
      </c>
      <c r="B17" s="24" t="n"/>
      <c r="C17" s="25">
        <f>'Income Statement'!C10-'Income Statement'!C15</f>
        <v/>
      </c>
      <c r="D17" s="25">
        <f>'Income Statement'!D10-'Income Statement'!D15</f>
        <v/>
      </c>
      <c r="E17" s="25">
        <f>'Income Statement'!E10-'Income Statement'!E15</f>
        <v/>
      </c>
      <c r="F17" s="25">
        <f>'Income Statement'!F10-'Income Statement'!F15</f>
        <v/>
      </c>
      <c r="G17" s="25">
        <f>'Income Statement'!G10-'Income Statement'!G15</f>
        <v/>
      </c>
    </row>
    <row r="19">
      <c r="A19" s="1" t="inlineStr">
        <is>
          <t>OPERATING EXPENSES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Salaries</t>
        </is>
      </c>
      <c r="C20" s="19">
        <f>Assumptions!$C$28</f>
        <v/>
      </c>
      <c r="D20" s="22">
        <f>Assumptions!D36*'Income Statement'!D10</f>
        <v/>
      </c>
      <c r="E20" s="22">
        <f>Assumptions!E36*'Income Statement'!E10</f>
        <v/>
      </c>
      <c r="F20" s="22">
        <f>Assumptions!F36*'Income Statement'!F10</f>
        <v/>
      </c>
      <c r="G20" s="22">
        <f>Assumptions!G36*'Income Statement'!G10</f>
        <v/>
      </c>
    </row>
    <row r="21">
      <c r="A21" s="3" t="inlineStr">
        <is>
          <t>Marketing &amp; Growth</t>
        </is>
      </c>
      <c r="C21" s="19">
        <f>Assumptions!$C$29</f>
        <v/>
      </c>
      <c r="D21" s="22">
        <f>Assumptions!D37*'Income Statement'!D10</f>
        <v/>
      </c>
      <c r="E21" s="22">
        <f>Assumptions!E37*'Income Statement'!E10</f>
        <v/>
      </c>
      <c r="F21" s="22">
        <f>Assumptions!F37*'Income Statement'!F10</f>
        <v/>
      </c>
      <c r="G21" s="22">
        <f>Assumptions!G37*'Income Statement'!G10</f>
        <v/>
      </c>
    </row>
    <row r="22">
      <c r="A22" s="3" t="inlineStr">
        <is>
          <t>Legal &amp; Regulatory</t>
        </is>
      </c>
      <c r="C22" s="19">
        <f>Assumptions!$C$30</f>
        <v/>
      </c>
      <c r="D22" s="22">
        <f>Assumptions!D38*'Income Statement'!D10</f>
        <v/>
      </c>
      <c r="E22" s="22">
        <f>Assumptions!E38*'Income Statement'!E10</f>
        <v/>
      </c>
      <c r="F22" s="22">
        <f>Assumptions!F38*'Income Statement'!F10</f>
        <v/>
      </c>
      <c r="G22" s="22">
        <f>Assumptions!G38*'Income Statement'!G10</f>
        <v/>
      </c>
    </row>
    <row r="23">
      <c r="A23" s="3" t="inlineStr">
        <is>
          <t>Insurance</t>
        </is>
      </c>
      <c r="C23" s="19">
        <f>Assumptions!$C$31</f>
        <v/>
      </c>
      <c r="D23" s="22">
        <f>Assumptions!D39*'Income Statement'!D10</f>
        <v/>
      </c>
      <c r="E23" s="22">
        <f>Assumptions!E39*'Income Statement'!E10</f>
        <v/>
      </c>
      <c r="F23" s="22">
        <f>Assumptions!F39*'Income Statement'!F10</f>
        <v/>
      </c>
      <c r="G23" s="22">
        <f>Assumptions!G39*'Income Statement'!G10</f>
        <v/>
      </c>
    </row>
    <row r="24">
      <c r="A24" s="3" t="inlineStr">
        <is>
          <t>R&amp;D</t>
        </is>
      </c>
      <c r="C24" s="19">
        <f>Assumptions!$C$32</f>
        <v/>
      </c>
      <c r="D24" s="22">
        <f>Assumptions!D40*'Income Statement'!D10</f>
        <v/>
      </c>
      <c r="E24" s="22">
        <f>Assumptions!E40*'Income Statement'!E10</f>
        <v/>
      </c>
      <c r="F24" s="22">
        <f>Assumptions!F40*'Income Statement'!F10</f>
        <v/>
      </c>
      <c r="G24" s="22">
        <f>Assumptions!G40*'Income Statement'!G10</f>
        <v/>
      </c>
    </row>
    <row r="25">
      <c r="A25" s="23" t="inlineStr">
        <is>
          <t>TOTAL OPERATING EXPENSES</t>
        </is>
      </c>
      <c r="B25" s="24" t="n"/>
      <c r="C25" s="25">
        <f>SUM('Income Statement'!C20:C24)</f>
        <v/>
      </c>
      <c r="D25" s="25">
        <f>SUM('Income Statement'!D20:D24)</f>
        <v/>
      </c>
      <c r="E25" s="25">
        <f>SUM('Income Statement'!E20:E24)</f>
        <v/>
      </c>
      <c r="F25" s="25">
        <f>SUM('Income Statement'!F20:F24)</f>
        <v/>
      </c>
      <c r="G25" s="25">
        <f>SUM('Income Statement'!G20:G24)</f>
        <v/>
      </c>
    </row>
    <row r="27">
      <c r="A27" s="23" t="inlineStr">
        <is>
          <t>EBIT  (Operating Profit / Loss)</t>
        </is>
      </c>
      <c r="B27" s="24" t="n"/>
      <c r="C27" s="25">
        <f>'Income Statement'!C17-'Income Statement'!C25</f>
        <v/>
      </c>
      <c r="D27" s="25">
        <f>'Income Statement'!D17-'Income Statement'!D25</f>
        <v/>
      </c>
      <c r="E27" s="25">
        <f>'Income Statement'!E17-'Income Statement'!E25</f>
        <v/>
      </c>
      <c r="F27" s="25">
        <f>'Income Statement'!F17-'Income Statement'!F25</f>
        <v/>
      </c>
      <c r="G27" s="25">
        <f>'Income Statement'!G17-'Income Statement'!G25</f>
        <v/>
      </c>
    </row>
    <row r="29">
      <c r="A29" s="1" t="inlineStr">
        <is>
          <t>UK CORPORATION TAX COMPUTATION</t>
        </is>
      </c>
      <c r="B29" s="2" t="n"/>
      <c r="C29" s="2" t="n"/>
      <c r="D29" s="2" t="n"/>
      <c r="E29" s="2" t="n"/>
      <c r="F29" s="2" t="n"/>
      <c r="G29" s="2" t="n"/>
      <c r="H29" s="2" t="n"/>
    </row>
    <row r="30">
      <c r="A30" s="3" t="inlineStr">
        <is>
          <t>Prior-Year Tax Loss Balance (b/f)</t>
        </is>
      </c>
      <c r="C30" s="22">
        <f>0</f>
        <v/>
      </c>
      <c r="D30" s="22">
        <f>'Income Statement'!C34</f>
        <v/>
      </c>
      <c r="E30" s="22">
        <f>'Income Statement'!D34</f>
        <v/>
      </c>
      <c r="F30" s="22">
        <f>'Income Statement'!E34</f>
        <v/>
      </c>
      <c r="G30" s="22">
        <f>'Income Statement'!F34</f>
        <v/>
      </c>
    </row>
    <row r="31">
      <c r="A31" s="3" t="inlineStr">
        <is>
          <t>Loss Carry-Forward Applied (limited to £5M p.a. &amp; actual profit)</t>
        </is>
      </c>
      <c r="C31" s="22">
        <f>IF('Income Statement'!C27&gt;0,MIN('Income Statement'!C30,Assumptions!$C$48,'Income Statement'!C27),0)</f>
        <v/>
      </c>
      <c r="D31" s="22">
        <f>IF('Income Statement'!D27&gt;0,MIN('Income Statement'!D30,Assumptions!$C$48,'Income Statement'!D27),0)</f>
        <v/>
      </c>
      <c r="E31" s="22">
        <f>IF('Income Statement'!E27&gt;0,MIN('Income Statement'!E30,Assumptions!$C$48,'Income Statement'!E27),0)</f>
        <v/>
      </c>
      <c r="F31" s="22">
        <f>IF('Income Statement'!F27&gt;0,MIN('Income Statement'!F30,Assumptions!$C$48,'Income Statement'!F27),0)</f>
        <v/>
      </c>
      <c r="G31" s="22">
        <f>IF('Income Statement'!G27&gt;0,MIN('Income Statement'!G30,Assumptions!$C$48,'Income Statement'!G27),0)</f>
        <v/>
      </c>
    </row>
    <row r="32">
      <c r="A32" s="3" t="inlineStr">
        <is>
          <t>Taxable Profit After Loss Relief</t>
        </is>
      </c>
      <c r="C32" s="22">
        <f>MAX('Income Statement'!C27-'Income Statement'!C31,0)</f>
        <v/>
      </c>
      <c r="D32" s="22">
        <f>MAX('Income Statement'!D27-'Income Statement'!D31,0)</f>
        <v/>
      </c>
      <c r="E32" s="22">
        <f>MAX('Income Statement'!E27-'Income Statement'!E31,0)</f>
        <v/>
      </c>
      <c r="F32" s="22">
        <f>MAX('Income Statement'!F27-'Income Statement'!F31,0)</f>
        <v/>
      </c>
      <c r="G32" s="22">
        <f>MAX('Income Statement'!G27-'Income Statement'!G31,0)</f>
        <v/>
      </c>
    </row>
    <row r="33">
      <c r="A33" s="3" t="inlineStr">
        <is>
          <t>Tax Provision (19% / marginal relief / 25%)</t>
        </is>
      </c>
      <c r="C33" s="22">
        <f>IF('Income Statement'!C32&lt;=0,0,IF('Income Statement'!C32&lt;=Assumptions!$C$45,Assumptions!$C$43*'Income Statement'!C32,IF('Income Statement'!C32&lt;=Assumptions!$C$46,Assumptions!$C$44*'Income Statement'!C32-(Assumptions!$C$46-'Income Statement'!C32)*3/200,Assumptions!$C$44*'Income Statement'!C32)))</f>
        <v/>
      </c>
      <c r="D33" s="22">
        <f>IF('Income Statement'!D32&lt;=0,0,IF('Income Statement'!D32&lt;=Assumptions!$C$45,Assumptions!$C$43*'Income Statement'!D32,IF('Income Statement'!D32&lt;=Assumptions!$C$46,Assumptions!$C$44*'Income Statement'!D32-(Assumptions!$C$46-'Income Statement'!D32)*3/200,Assumptions!$C$44*'Income Statement'!D32)))</f>
        <v/>
      </c>
      <c r="E33" s="22">
        <f>IF('Income Statement'!E32&lt;=0,0,IF('Income Statement'!E32&lt;=Assumptions!$C$45,Assumptions!$C$43*'Income Statement'!E32,IF('Income Statement'!E32&lt;=Assumptions!$C$46,Assumptions!$C$44*'Income Statement'!E32-(Assumptions!$C$46-'Income Statement'!E32)*3/200,Assumptions!$C$44*'Income Statement'!E32)))</f>
        <v/>
      </c>
      <c r="F33" s="22">
        <f>IF('Income Statement'!F32&lt;=0,0,IF('Income Statement'!F32&lt;=Assumptions!$C$45,Assumptions!$C$43*'Income Statement'!F32,IF('Income Statement'!F32&lt;=Assumptions!$C$46,Assumptions!$C$44*'Income Statement'!F32-(Assumptions!$C$46-'Income Statement'!F32)*3/200,Assumptions!$C$44*'Income Statement'!F32)))</f>
        <v/>
      </c>
      <c r="G33" s="22">
        <f>IF('Income Statement'!G32&lt;=0,0,IF('Income Statement'!G32&lt;=Assumptions!$C$45,Assumptions!$C$43*'Income Statement'!G32,IF('Income Statement'!G32&lt;=Assumptions!$C$46,Assumptions!$C$44*'Income Statement'!G32-(Assumptions!$C$46-'Income Statement'!G32)*3/200,Assumptions!$C$44*'Income Statement'!G32)))</f>
        <v/>
      </c>
    </row>
    <row r="34">
      <c r="A34" s="3" t="inlineStr">
        <is>
          <t>Closing Tax Loss Balance (carried forward to next year)</t>
        </is>
      </c>
      <c r="C34" s="22">
        <f>MAX(0,'Income Statement'!C30-'Income Statement'!C31)+MAX(0,-'Income Statement'!C27)</f>
        <v/>
      </c>
      <c r="D34" s="22">
        <f>MAX(0,'Income Statement'!D30-'Income Statement'!D31)+MAX(0,-'Income Statement'!D27)</f>
        <v/>
      </c>
      <c r="E34" s="22">
        <f>MAX(0,'Income Statement'!E30-'Income Statement'!E31)+MAX(0,-'Income Statement'!E27)</f>
        <v/>
      </c>
      <c r="F34" s="22">
        <f>MAX(0,'Income Statement'!F30-'Income Statement'!F31)+MAX(0,-'Income Statement'!F27)</f>
        <v/>
      </c>
      <c r="G34" s="22">
        <f>MAX(0,'Income Statement'!G30-'Income Statement'!G31)+MAX(0,-'Income Statement'!G27)</f>
        <v/>
      </c>
    </row>
    <row r="36">
      <c r="A36" s="23" t="inlineStr">
        <is>
          <t>NET INCOME  (After Tax)</t>
        </is>
      </c>
      <c r="B36" s="24" t="n"/>
      <c r="C36" s="26">
        <f>'Income Statement'!C27-'Income Statement'!C33</f>
        <v/>
      </c>
      <c r="D36" s="26">
        <f>'Income Statement'!D27-'Income Statement'!D33</f>
        <v/>
      </c>
      <c r="E36" s="26">
        <f>'Income Statement'!E27-'Income Statement'!E33</f>
        <v/>
      </c>
      <c r="F36" s="26">
        <f>'Income Statement'!F27-'Income Statement'!F33</f>
        <v/>
      </c>
      <c r="G36" s="26">
        <f>'Income Statement'!G27-'Income Statement'!G33</f>
        <v/>
      </c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843C0C"/>
    <outlinePr summaryBelow="1" summaryRight="1"/>
    <pageSetUpPr fitToPage="1"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4" customHeight="1">
      <c r="A1" s="16" t="inlineStr">
        <is>
          <t>BALANCE SHEET</t>
        </is>
      </c>
      <c r="B1" s="2" t="n"/>
      <c r="C1" s="2" t="n"/>
      <c r="D1" s="2" t="n"/>
      <c r="E1" s="2" t="n"/>
      <c r="F1" s="2" t="n"/>
      <c r="G1" s="2" t="n"/>
    </row>
    <row r="2">
      <c r="A2" s="27" t="inlineStr">
        <is>
          <t>All figures in GBP (£)</t>
        </is>
      </c>
    </row>
    <row r="3">
      <c r="A3" s="28" t="inlineStr">
        <is>
          <t>Year →</t>
        </is>
      </c>
      <c r="C3" s="9" t="n">
        <v>2026</v>
      </c>
      <c r="D3" s="9" t="n">
        <v>2027</v>
      </c>
      <c r="E3" s="9" t="n">
        <v>2028</v>
      </c>
      <c r="F3" s="9" t="n">
        <v>2029</v>
      </c>
      <c r="G3" s="9" t="n">
        <v>2030</v>
      </c>
    </row>
    <row r="5">
      <c r="A5" s="1" t="inlineStr">
        <is>
          <t>ASSETS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1" t="inlineStr">
        <is>
          <t>Cash &amp; Cash Equivalents</t>
        </is>
      </c>
      <c r="C6" s="19">
        <f>'Cash Flow'!C23</f>
        <v/>
      </c>
      <c r="D6" s="19">
        <f>'Cash Flow'!D23</f>
        <v/>
      </c>
      <c r="E6" s="19">
        <f>'Cash Flow'!E23</f>
        <v/>
      </c>
      <c r="F6" s="19">
        <f>'Cash Flow'!F23</f>
        <v/>
      </c>
      <c r="G6" s="19">
        <f>'Cash Flow'!G23</f>
        <v/>
      </c>
    </row>
    <row r="7">
      <c r="A7" s="3" t="inlineStr">
        <is>
          <t>Accounts Receivable  (Revenue × DSO / 365)</t>
        </is>
      </c>
      <c r="C7" s="22">
        <f>'Income Statement'!C10*Assumptions!$C$55/365</f>
        <v/>
      </c>
      <c r="D7" s="22">
        <f>'Income Statement'!D10*Assumptions!$C$55/365</f>
        <v/>
      </c>
      <c r="E7" s="22">
        <f>'Income Statement'!E10*Assumptions!$C$55/365</f>
        <v/>
      </c>
      <c r="F7" s="22">
        <f>'Income Statement'!F10*Assumptions!$C$55/365</f>
        <v/>
      </c>
      <c r="G7" s="22">
        <f>'Income Statement'!G10*Assumptions!$C$55/365</f>
        <v/>
      </c>
    </row>
    <row r="8">
      <c r="A8" s="23" t="inlineStr">
        <is>
          <t>TOTAL CURRENT ASSETS</t>
        </is>
      </c>
      <c r="B8" s="24" t="n"/>
      <c r="C8" s="25">
        <f>SUM('Balance Sheet'!C6:C7)</f>
        <v/>
      </c>
      <c r="D8" s="25">
        <f>SUM('Balance Sheet'!D6:D7)</f>
        <v/>
      </c>
      <c r="E8" s="25">
        <f>SUM('Balance Sheet'!E6:E7)</f>
        <v/>
      </c>
      <c r="F8" s="25">
        <f>SUM('Balance Sheet'!F6:F7)</f>
        <v/>
      </c>
      <c r="G8" s="25">
        <f>SUM('Balance Sheet'!G6:G7)</f>
        <v/>
      </c>
    </row>
    <row r="9">
      <c r="A9" s="23" t="inlineStr">
        <is>
          <t>TOTAL ASSETS</t>
        </is>
      </c>
      <c r="B9" s="24" t="n"/>
      <c r="C9" s="29">
        <f>'Balance Sheet'!C8</f>
        <v/>
      </c>
      <c r="D9" s="29">
        <f>'Balance Sheet'!D8</f>
        <v/>
      </c>
      <c r="E9" s="29">
        <f>'Balance Sheet'!E8</f>
        <v/>
      </c>
      <c r="F9" s="29">
        <f>'Balance Sheet'!F8</f>
        <v/>
      </c>
      <c r="G9" s="29">
        <f>'Balance Sheet'!G8</f>
        <v/>
      </c>
    </row>
    <row r="11">
      <c r="A11" s="1" t="inlineStr">
        <is>
          <t>LIABILITIES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3" t="inlineStr">
        <is>
          <t>Accounts Payable  ((COGS + OpEx) × DPO / 365)</t>
        </is>
      </c>
      <c r="C12" s="22">
        <f>('Income Statement'!C15+'Income Statement'!C25)*Assumptions!$C$56/365</f>
        <v/>
      </c>
      <c r="D12" s="22">
        <f>('Income Statement'!D15+'Income Statement'!D25)*Assumptions!$C$56/365</f>
        <v/>
      </c>
      <c r="E12" s="22">
        <f>('Income Statement'!E15+'Income Statement'!E25)*Assumptions!$C$56/365</f>
        <v/>
      </c>
      <c r="F12" s="22">
        <f>('Income Statement'!F15+'Income Statement'!F25)*Assumptions!$C$56/365</f>
        <v/>
      </c>
      <c r="G12" s="22">
        <f>('Income Statement'!G15+'Income Statement'!G25)*Assumptions!$C$56/365</f>
        <v/>
      </c>
    </row>
    <row r="13">
      <c r="A13" s="3" t="inlineStr">
        <is>
          <t>Corporation Tax Payable  (current year provision, paid next year)</t>
        </is>
      </c>
      <c r="C13" s="22">
        <f>'Income Statement'!C33</f>
        <v/>
      </c>
      <c r="D13" s="22">
        <f>'Income Statement'!D33</f>
        <v/>
      </c>
      <c r="E13" s="22">
        <f>'Income Statement'!E33</f>
        <v/>
      </c>
      <c r="F13" s="22">
        <f>'Income Statement'!F33</f>
        <v/>
      </c>
      <c r="G13" s="22">
        <f>'Income Statement'!G33</f>
        <v/>
      </c>
    </row>
    <row r="14">
      <c r="A14" s="23" t="inlineStr">
        <is>
          <t>TOTAL CURRENT LIABILITIES</t>
        </is>
      </c>
      <c r="B14" s="24" t="n"/>
      <c r="C14" s="25">
        <f>SUM('Balance Sheet'!C12:C13)</f>
        <v/>
      </c>
      <c r="D14" s="25">
        <f>SUM('Balance Sheet'!D12:D13)</f>
        <v/>
      </c>
      <c r="E14" s="25">
        <f>SUM('Balance Sheet'!E12:E13)</f>
        <v/>
      </c>
      <c r="F14" s="25">
        <f>SUM('Balance Sheet'!F12:F13)</f>
        <v/>
      </c>
      <c r="G14" s="25">
        <f>SUM('Balance Sheet'!G12:G13)</f>
        <v/>
      </c>
    </row>
    <row r="15">
      <c r="A15" s="23" t="inlineStr">
        <is>
          <t>TOTAL LIABILITIES</t>
        </is>
      </c>
      <c r="B15" s="24" t="n"/>
      <c r="C15" s="29">
        <f>'Balance Sheet'!C14</f>
        <v/>
      </c>
      <c r="D15" s="29">
        <f>'Balance Sheet'!D14</f>
        <v/>
      </c>
      <c r="E15" s="29">
        <f>'Balance Sheet'!E14</f>
        <v/>
      </c>
      <c r="F15" s="29">
        <f>'Balance Sheet'!F14</f>
        <v/>
      </c>
      <c r="G15" s="29">
        <f>'Balance Sheet'!G14</f>
        <v/>
      </c>
    </row>
    <row r="17">
      <c r="A17" s="1" t="inlineStr">
        <is>
          <t>EQUITY</t>
        </is>
      </c>
      <c r="B17" s="2" t="n"/>
      <c r="C17" s="2" t="n"/>
      <c r="D17" s="2" t="n"/>
      <c r="E17" s="2" t="n"/>
      <c r="F17" s="2" t="n"/>
      <c r="G17" s="2" t="n"/>
      <c r="H17" s="2" t="n"/>
    </row>
    <row r="18">
      <c r="A18" s="21" t="inlineStr">
        <is>
          <t>Share Capital  (cumulative equity raises to date)</t>
        </is>
      </c>
      <c r="C18" s="19">
        <f>Assumptions!C52</f>
        <v/>
      </c>
      <c r="D18" s="19">
        <f>'Balance Sheet'!C18+Assumptions!D52</f>
        <v/>
      </c>
      <c r="E18" s="19">
        <f>'Balance Sheet'!D18+Assumptions!E52</f>
        <v/>
      </c>
      <c r="F18" s="19">
        <f>'Balance Sheet'!E18+Assumptions!F52</f>
        <v/>
      </c>
      <c r="G18" s="19">
        <f>'Balance Sheet'!F18+Assumptions!G52</f>
        <v/>
      </c>
    </row>
    <row r="19">
      <c r="A19" s="3" t="inlineStr">
        <is>
          <t>Retained Earnings  (cumulative net income)</t>
        </is>
      </c>
      <c r="C19" s="22">
        <f>'Income Statement'!C36</f>
        <v/>
      </c>
      <c r="D19" s="22">
        <f>'Balance Sheet'!C19+'Income Statement'!D36</f>
        <v/>
      </c>
      <c r="E19" s="22">
        <f>'Balance Sheet'!D19+'Income Statement'!E36</f>
        <v/>
      </c>
      <c r="F19" s="22">
        <f>'Balance Sheet'!E19+'Income Statement'!F36</f>
        <v/>
      </c>
      <c r="G19" s="22">
        <f>'Balance Sheet'!F19+'Income Statement'!G36</f>
        <v/>
      </c>
    </row>
    <row r="20">
      <c r="A20" s="23" t="inlineStr">
        <is>
          <t>TOTAL EQUITY</t>
        </is>
      </c>
      <c r="B20" s="24" t="n"/>
      <c r="C20" s="29">
        <f>SUM('Balance Sheet'!C18:C19)</f>
        <v/>
      </c>
      <c r="D20" s="29">
        <f>SUM('Balance Sheet'!D18:D19)</f>
        <v/>
      </c>
      <c r="E20" s="29">
        <f>SUM('Balance Sheet'!E18:E19)</f>
        <v/>
      </c>
      <c r="F20" s="29">
        <f>SUM('Balance Sheet'!F18:F19)</f>
        <v/>
      </c>
      <c r="G20" s="29">
        <f>SUM('Balance Sheet'!G18:G19)</f>
        <v/>
      </c>
    </row>
    <row r="22">
      <c r="A22" s="1" t="inlineStr">
        <is>
          <t>BALANCE CHECK  (Total Assets − Total Liabilities − Total Equity = 0)</t>
        </is>
      </c>
      <c r="B22" s="2" t="n"/>
      <c r="C22" s="30">
        <f>'Balance Sheet'!C9-'Balance Sheet'!C15-'Balance Sheet'!C20</f>
        <v/>
      </c>
      <c r="D22" s="30">
        <f>'Balance Sheet'!D9-'Balance Sheet'!D15-'Balance Sheet'!D20</f>
        <v/>
      </c>
      <c r="E22" s="30">
        <f>'Balance Sheet'!E9-'Balance Sheet'!E15-'Balance Sheet'!E20</f>
        <v/>
      </c>
      <c r="F22" s="30">
        <f>'Balance Sheet'!F9-'Balance Sheet'!F15-'Balance Sheet'!F20</f>
        <v/>
      </c>
      <c r="G22" s="30">
        <f>'Balance Sheet'!G9-'Balance Sheet'!G15-'Balance Sheet'!G20</f>
        <v/>
      </c>
      <c r="H22" s="2" t="n"/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H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4" customHeight="1">
      <c r="A1" s="16" t="inlineStr">
        <is>
          <t>CASH FLOW STATEMENT  (Indirect Method)</t>
        </is>
      </c>
      <c r="B1" s="2" t="n"/>
      <c r="C1" s="2" t="n"/>
      <c r="D1" s="2" t="n"/>
      <c r="E1" s="2" t="n"/>
      <c r="F1" s="2" t="n"/>
      <c r="G1" s="2" t="n"/>
    </row>
    <row r="2">
      <c r="A2" s="27" t="inlineStr">
        <is>
          <t>All figures in GBP (£)</t>
        </is>
      </c>
    </row>
    <row r="3">
      <c r="A3" s="28" t="inlineStr">
        <is>
          <t>Year →</t>
        </is>
      </c>
      <c r="C3" s="9" t="n">
        <v>2026</v>
      </c>
      <c r="D3" s="9" t="n">
        <v>2027</v>
      </c>
      <c r="E3" s="9" t="n">
        <v>2028</v>
      </c>
      <c r="F3" s="9" t="n">
        <v>2029</v>
      </c>
      <c r="G3" s="9" t="n">
        <v>2030</v>
      </c>
    </row>
    <row r="5">
      <c r="A5" s="1" t="inlineStr">
        <is>
          <t>OPERATING ACTIVITIES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21" t="inlineStr">
        <is>
          <t>Net Income (after tax)</t>
        </is>
      </c>
      <c r="C6" s="19">
        <f>'Income Statement'!C36</f>
        <v/>
      </c>
      <c r="D6" s="19">
        <f>'Income Statement'!D36</f>
        <v/>
      </c>
      <c r="E6" s="19">
        <f>'Income Statement'!E36</f>
        <v/>
      </c>
      <c r="F6" s="19">
        <f>'Income Statement'!F36</f>
        <v/>
      </c>
      <c r="G6" s="19">
        <f>'Income Statement'!G36</f>
        <v/>
      </c>
    </row>
    <row r="7">
      <c r="A7" s="3" t="inlineStr">
        <is>
          <t>Change in Accounts Receivable  (increase = cash outflow)</t>
        </is>
      </c>
      <c r="C7" s="22">
        <f>-('Balance Sheet'!C7-0)</f>
        <v/>
      </c>
      <c r="D7" s="22">
        <f>-('Balance Sheet'!D7-'Balance Sheet'!C7)</f>
        <v/>
      </c>
      <c r="E7" s="22">
        <f>-('Balance Sheet'!E7-'Balance Sheet'!D7)</f>
        <v/>
      </c>
      <c r="F7" s="22">
        <f>-('Balance Sheet'!F7-'Balance Sheet'!E7)</f>
        <v/>
      </c>
      <c r="G7" s="22">
        <f>-('Balance Sheet'!G7-'Balance Sheet'!F7)</f>
        <v/>
      </c>
    </row>
    <row r="8">
      <c r="A8" s="3" t="inlineStr">
        <is>
          <t>Change in Accounts Payable  (increase = cash inflow)</t>
        </is>
      </c>
      <c r="C8" s="22">
        <f>'Balance Sheet'!C12-0</f>
        <v/>
      </c>
      <c r="D8" s="22">
        <f>'Balance Sheet'!D12-'Balance Sheet'!C12</f>
        <v/>
      </c>
      <c r="E8" s="22">
        <f>'Balance Sheet'!E12-'Balance Sheet'!D12</f>
        <v/>
      </c>
      <c r="F8" s="22">
        <f>'Balance Sheet'!F12-'Balance Sheet'!E12</f>
        <v/>
      </c>
      <c r="G8" s="22">
        <f>'Balance Sheet'!G12-'Balance Sheet'!F12</f>
        <v/>
      </c>
    </row>
    <row r="9">
      <c r="A9" s="3" t="inlineStr">
        <is>
          <t>Change in Corporation Tax Payable  (current provision − prior paid)</t>
        </is>
      </c>
      <c r="C9" s="22">
        <f>'Balance Sheet'!C13-0</f>
        <v/>
      </c>
      <c r="D9" s="22">
        <f>'Balance Sheet'!D13-'Balance Sheet'!C13</f>
        <v/>
      </c>
      <c r="E9" s="22">
        <f>'Balance Sheet'!E13-'Balance Sheet'!D13</f>
        <v/>
      </c>
      <c r="F9" s="22">
        <f>'Balance Sheet'!F13-'Balance Sheet'!E13</f>
        <v/>
      </c>
      <c r="G9" s="22">
        <f>'Balance Sheet'!G13-'Balance Sheet'!F13</f>
        <v/>
      </c>
    </row>
    <row r="10">
      <c r="A10" s="23" t="inlineStr">
        <is>
          <t>NET CASH FROM OPERATIONS</t>
        </is>
      </c>
      <c r="B10" s="24" t="n"/>
      <c r="C10" s="25">
        <f>SUM('Cash Flow'!C6:C9)</f>
        <v/>
      </c>
      <c r="D10" s="25">
        <f>SUM('Cash Flow'!D6:D9)</f>
        <v/>
      </c>
      <c r="E10" s="25">
        <f>SUM('Cash Flow'!E6:E9)</f>
        <v/>
      </c>
      <c r="F10" s="25">
        <f>SUM('Cash Flow'!F6:F9)</f>
        <v/>
      </c>
      <c r="G10" s="25">
        <f>SUM('Cash Flow'!G6:G9)</f>
        <v/>
      </c>
    </row>
    <row r="12">
      <c r="A12" s="1" t="inlineStr">
        <is>
          <t>INVESTING ACTIVITIES</t>
        </is>
      </c>
      <c r="B12" s="2" t="n"/>
      <c r="C12" s="2" t="n"/>
      <c r="D12" s="2" t="n"/>
      <c r="E12" s="2" t="n"/>
      <c r="F12" s="2" t="n"/>
      <c r="G12" s="2" t="n"/>
      <c r="H12" s="2" t="n"/>
    </row>
    <row r="13">
      <c r="A13" s="21" t="inlineStr">
        <is>
          <t>Capital Expenditure / CapEx  (asset-light — £0)</t>
        </is>
      </c>
      <c r="C13" s="19">
        <f>-Assumptions!$C$62</f>
        <v/>
      </c>
      <c r="D13" s="19">
        <f>-Assumptions!$C$62</f>
        <v/>
      </c>
      <c r="E13" s="19">
        <f>-Assumptions!$C$62</f>
        <v/>
      </c>
      <c r="F13" s="19">
        <f>-Assumptions!$C$62</f>
        <v/>
      </c>
      <c r="G13" s="19">
        <f>-Assumptions!$C$62</f>
        <v/>
      </c>
    </row>
    <row r="14">
      <c r="A14" s="23" t="inlineStr">
        <is>
          <t>NET CASH FROM INVESTING</t>
        </is>
      </c>
      <c r="B14" s="24" t="n"/>
      <c r="C14" s="25">
        <f>'Cash Flow'!C13</f>
        <v/>
      </c>
      <c r="D14" s="25">
        <f>'Cash Flow'!D13</f>
        <v/>
      </c>
      <c r="E14" s="25">
        <f>'Cash Flow'!E13</f>
        <v/>
      </c>
      <c r="F14" s="25">
        <f>'Cash Flow'!F13</f>
        <v/>
      </c>
      <c r="G14" s="25">
        <f>'Cash Flow'!G13</f>
        <v/>
      </c>
    </row>
    <row r="16">
      <c r="A16" s="1" t="inlineStr">
        <is>
          <t>FINANCING ACTIVITIES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1" t="inlineStr">
        <is>
          <t>Equity Raised  (per Assumptions)</t>
        </is>
      </c>
      <c r="C17" s="19">
        <f>Assumptions!C52</f>
        <v/>
      </c>
      <c r="D17" s="19">
        <f>Assumptions!D52</f>
        <v/>
      </c>
      <c r="E17" s="19">
        <f>Assumptions!E52</f>
        <v/>
      </c>
      <c r="F17" s="19">
        <f>Assumptions!F52</f>
        <v/>
      </c>
      <c r="G17" s="19">
        <f>Assumptions!G52</f>
        <v/>
      </c>
    </row>
    <row r="18">
      <c r="A18" s="23" t="inlineStr">
        <is>
          <t>NET CASH FROM FINANCING</t>
        </is>
      </c>
      <c r="B18" s="24" t="n"/>
      <c r="C18" s="25">
        <f>'Cash Flow'!C17</f>
        <v/>
      </c>
      <c r="D18" s="25">
        <f>'Cash Flow'!D17</f>
        <v/>
      </c>
      <c r="E18" s="25">
        <f>'Cash Flow'!E17</f>
        <v/>
      </c>
      <c r="F18" s="25">
        <f>'Cash Flow'!F17</f>
        <v/>
      </c>
      <c r="G18" s="25">
        <f>'Cash Flow'!G17</f>
        <v/>
      </c>
    </row>
    <row r="20">
      <c r="A20" s="1" t="inlineStr">
        <is>
          <t>CASH SUMMARY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3" t="inlineStr">
        <is>
          <t>Net Change in Cash</t>
        </is>
      </c>
      <c r="C21" s="22">
        <f>'Cash Flow'!C10+'Cash Flow'!C14+'Cash Flow'!C18</f>
        <v/>
      </c>
      <c r="D21" s="22">
        <f>'Cash Flow'!D10+'Cash Flow'!D14+'Cash Flow'!D18</f>
        <v/>
      </c>
      <c r="E21" s="22">
        <f>'Cash Flow'!E10+'Cash Flow'!E14+'Cash Flow'!E18</f>
        <v/>
      </c>
      <c r="F21" s="22">
        <f>'Cash Flow'!F10+'Cash Flow'!F14+'Cash Flow'!F18</f>
        <v/>
      </c>
      <c r="G21" s="22">
        <f>'Cash Flow'!G10+'Cash Flow'!G14+'Cash Flow'!G18</f>
        <v/>
      </c>
    </row>
    <row r="22">
      <c r="A22" s="3" t="inlineStr">
        <is>
          <t>Opening Cash</t>
        </is>
      </c>
      <c r="C22" s="19">
        <f>Assumptions!$C$59</f>
        <v/>
      </c>
      <c r="D22" s="22">
        <f>'Cash Flow'!C23</f>
        <v/>
      </c>
      <c r="E22" s="22">
        <f>'Cash Flow'!D23</f>
        <v/>
      </c>
      <c r="F22" s="22">
        <f>'Cash Flow'!E23</f>
        <v/>
      </c>
      <c r="G22" s="22">
        <f>'Cash Flow'!F23</f>
        <v/>
      </c>
    </row>
    <row r="23">
      <c r="A23" s="23" t="inlineStr">
        <is>
          <t>CLOSING CASH  (= Balance Sheet: Cash &amp; Cash Equivalents)</t>
        </is>
      </c>
      <c r="B23" s="24" t="n"/>
      <c r="C23" s="26">
        <f>'Cash Flow'!C21+'Cash Flow'!C22</f>
        <v/>
      </c>
      <c r="D23" s="26">
        <f>'Cash Flow'!D21+'Cash Flow'!D22</f>
        <v/>
      </c>
      <c r="E23" s="26">
        <f>'Cash Flow'!E21+'Cash Flow'!E22</f>
        <v/>
      </c>
      <c r="F23" s="26">
        <f>'Cash Flow'!F21+'Cash Flow'!F22</f>
        <v/>
      </c>
      <c r="G23" s="26">
        <f>'Cash Flow'!G21+'Cash Flow'!G22</f>
        <v/>
      </c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2026-03-11T17:54:18Z</dcterms:created>
  <dcterms:modified xsi:type="dcterms:W3CDTF">2026-03-11T17:54:18Z</dcterms:modified>
</cp:coreProperties>
</file>