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Scenarios" sheetId="2" state="visible" r:id="rId2"/>
    <sheet name="Income Statement" sheetId="3" state="visible" r:id="rId3"/>
    <sheet name="Balance Sheet" sheetId="4" state="visible" r:id="rId4"/>
    <sheet name="Cash Flow" sheetId="5" state="visible" r:id="rId5"/>
    <sheet name="Valuation" sheetId="6" state="visible" r:id="rId6"/>
    <sheet name="Cap Table" sheetId="7" state="visible" r:id="rId7"/>
    <sheet name="Dashboard" sheetId="8" state="visible" r:id="rId8"/>
  </sheets>
  <definedNames>
    <definedName name="_xlnm.Print_Titles" localSheetId="0">'Assumptions'!$1:$3</definedName>
    <definedName name="_xlnm.Print_Titles" localSheetId="1">'Scenarios'!$1:$3</definedName>
    <definedName name="_xlnm.Print_Titles" localSheetId="2">'Income Statement'!$1:$3</definedName>
    <definedName name="_xlnm.Print_Titles" localSheetId="3">'Balance Sheet'!$1:$3</definedName>
    <definedName name="_xlnm.Print_Titles" localSheetId="4">'Cash Flow'!$1:$3</definedName>
    <definedName name="_xlnm.Print_Titles" localSheetId="5">'Valuation'!$1:$3</definedName>
    <definedName name="_xlnm.Print_Titles" localSheetId="6">'Cap Table'!$1:$3</definedName>
    <definedName name="_xlnm.Print_Titles" localSheetId="7">'Dashboard'!$1:$3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£#,##0.00"/>
    <numFmt numFmtId="166" formatCode="£#,##0"/>
    <numFmt numFmtId="167" formatCode="0.0"/>
    <numFmt numFmtId="168" formatCode="0&quot;x&quot;"/>
    <numFmt numFmtId="169" formatCode="YYYY-MM-DD"/>
    <numFmt numFmtId="170" formatCode="0.0000"/>
    <numFmt numFmtId="171" formatCode="0.00&quot;x&quot;"/>
    <numFmt numFmtId="172" formatCode="0.0000%"/>
    <numFmt numFmtId="173" formatCode="0&quot; years&quot;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color rgb="00000000"/>
      <sz val="10"/>
    </font>
    <font>
      <name val="Calibri"/>
      <color rgb="000000FF"/>
      <sz val="10"/>
    </font>
    <font>
      <name val="Calibri"/>
      <b val="1"/>
      <color rgb="00000000"/>
      <sz val="10"/>
    </font>
    <font>
      <name val="Calibri"/>
      <color rgb="000563C1"/>
      <sz val="10"/>
      <u val="single"/>
    </font>
    <font>
      <name val="Calibri"/>
      <i val="1"/>
      <color rgb="00FF0000"/>
      <sz val="10"/>
    </font>
    <font>
      <name val="Calibri"/>
      <color rgb="00008000"/>
      <sz val="10"/>
    </font>
    <font>
      <name val="Calibri"/>
      <b val="1"/>
      <i val="1"/>
      <color rgb="001F4E79"/>
      <sz val="10"/>
    </font>
    <font>
      <name val="Calibri"/>
      <b val="1"/>
      <color rgb="00FFFFFF"/>
      <sz val="14"/>
    </font>
    <font>
      <name val="Calibri"/>
      <color rgb="00595959"/>
      <sz val="9"/>
    </font>
    <font>
      <name val="Calibri"/>
      <b val="1"/>
      <color rgb="001F4E79"/>
      <sz val="10"/>
    </font>
    <font>
      <name val="Calibri"/>
      <b val="1"/>
      <color rgb="00FFFFFF"/>
      <sz val="10"/>
    </font>
    <font>
      <name val="Calibri"/>
      <b val="1"/>
      <color rgb="001F4E79"/>
      <sz val="9"/>
    </font>
    <font>
      <name val="Calibri"/>
      <i val="1"/>
      <color rgb="00595959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EB9C"/>
      </patternFill>
    </fill>
    <fill>
      <patternFill patternType="solid">
        <fgColor rgb="00BDD7EE"/>
      </patternFill>
    </fill>
    <fill>
      <patternFill patternType="solid">
        <fgColor rgb="00D9E1F2"/>
      </patternFill>
    </fill>
    <fill>
      <patternFill patternType="solid">
        <fgColor rgb="0000B050"/>
      </patternFill>
    </fill>
    <fill>
      <patternFill patternType="solid">
        <fgColor rgb="00E2EFDA"/>
      </patternFill>
    </fill>
  </fills>
  <borders count="4">
    <border>
      <left/>
      <right/>
      <top/>
      <bottom/>
      <diagonal/>
    </border>
    <border>
      <bottom style="thin">
        <color rgb="00000000"/>
      </bottom>
    </border>
    <border>
      <top style="thin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3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7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4" fontId="3" fillId="3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" fillId="2" borderId="0" pivotButton="0" quotePrefix="0" xfId="0"/>
    <xf numFmtId="0" fontId="6" fillId="0" borderId="0" pivotButton="0" quotePrefix="0" xfId="0"/>
    <xf numFmtId="0" fontId="4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166" fontId="2" fillId="0" borderId="0" applyAlignment="1" pivotButton="0" quotePrefix="0" xfId="0">
      <alignment horizontal="right" vertical="center"/>
    </xf>
    <xf numFmtId="0" fontId="8" fillId="4" borderId="0" pivotButton="0" quotePrefix="0" xfId="0"/>
    <xf numFmtId="0" fontId="0" fillId="4" borderId="0" pivotButton="0" quotePrefix="0" xfId="0"/>
    <xf numFmtId="166" fontId="4" fillId="4" borderId="0" applyAlignment="1" pivotButton="0" quotePrefix="0" xfId="0">
      <alignment horizontal="right" vertical="center"/>
    </xf>
    <xf numFmtId="166" fontId="4" fillId="4" borderId="2" applyAlignment="1" pivotButton="0" quotePrefix="0" xfId="0">
      <alignment horizontal="right" vertical="center"/>
    </xf>
    <xf numFmtId="0" fontId="2" fillId="0" borderId="0" pivotButton="0" quotePrefix="0" xfId="0"/>
    <xf numFmtId="0" fontId="4" fillId="0" borderId="0" pivotButton="0" quotePrefix="0" xfId="0"/>
    <xf numFmtId="166" fontId="4" fillId="4" borderId="1" applyAlignment="1" pivotButton="0" quotePrefix="0" xfId="0">
      <alignment horizontal="right" vertical="center"/>
    </xf>
    <xf numFmtId="166" fontId="4" fillId="2" borderId="3" applyAlignment="1" pivotButton="0" quotePrefix="0" xfId="0">
      <alignment horizontal="center" vertical="center"/>
    </xf>
    <xf numFmtId="49" fontId="3" fillId="0" borderId="0" applyAlignment="1" pivotButton="0" quotePrefix="0" xfId="0">
      <alignment horizontal="center" vertical="center"/>
    </xf>
    <xf numFmtId="168" fontId="3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16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right" vertical="center"/>
    </xf>
    <xf numFmtId="167" fontId="2" fillId="0" borderId="0" applyAlignment="1" pivotButton="0" quotePrefix="0" xfId="0">
      <alignment horizontal="right" vertical="center"/>
    </xf>
    <xf numFmtId="170" fontId="2" fillId="0" borderId="0" applyAlignment="1" pivotButton="0" quotePrefix="0" xfId="0">
      <alignment horizontal="right" vertical="center"/>
    </xf>
    <xf numFmtId="164" fontId="7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right" vertical="center"/>
    </xf>
    <xf numFmtId="166" fontId="2" fillId="5" borderId="0" applyAlignment="1" pivotButton="0" quotePrefix="0" xfId="0">
      <alignment horizontal="right" vertical="center"/>
    </xf>
    <xf numFmtId="164" fontId="2" fillId="5" borderId="0" applyAlignment="1" pivotButton="0" quotePrefix="0" xfId="0">
      <alignment horizontal="right" vertical="center"/>
    </xf>
    <xf numFmtId="171" fontId="2" fillId="5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right" vertical="center"/>
    </xf>
    <xf numFmtId="17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right" vertical="center"/>
    </xf>
    <xf numFmtId="172" fontId="3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right" vertical="center"/>
    </xf>
    <xf numFmtId="3" fontId="4" fillId="4" borderId="0" applyAlignment="1" pivotButton="0" quotePrefix="0" xfId="0">
      <alignment horizontal="right" vertical="center"/>
    </xf>
    <xf numFmtId="164" fontId="4" fillId="4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left" vertical="center"/>
    </xf>
    <xf numFmtId="0" fontId="0" fillId="6" borderId="0" pivotButton="0" quotePrefix="0" xfId="0"/>
    <xf numFmtId="0" fontId="10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164" fontId="11" fillId="0" borderId="0" applyAlignment="1" pivotButton="0" quotePrefix="0" xfId="0">
      <alignment horizontal="left" vertical="center"/>
    </xf>
    <xf numFmtId="171" fontId="11" fillId="0" borderId="0" applyAlignment="1" pivotButton="0" quotePrefix="0" xfId="0">
      <alignment horizontal="left" vertical="center"/>
    </xf>
    <xf numFmtId="168" fontId="11" fillId="0" borderId="0" applyAlignment="1" pivotButton="0" quotePrefix="0" xfId="0">
      <alignment horizontal="left" vertical="center"/>
    </xf>
    <xf numFmtId="173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/>
    </xf>
    <xf numFmtId="166" fontId="7" fillId="7" borderId="0" applyAlignment="1" pivotButton="0" quotePrefix="0" xfId="0">
      <alignment horizontal="right" vertical="center"/>
    </xf>
    <xf numFmtId="0" fontId="0" fillId="7" borderId="0" pivotButton="0" quotePrefix="0" xfId="0"/>
    <xf numFmtId="164" fontId="7" fillId="7" borderId="0" applyAlignment="1" pivotButton="0" quotePrefix="0" xfId="0">
      <alignment horizontal="right" vertical="center"/>
    </xf>
    <xf numFmtId="171" fontId="7" fillId="7" borderId="0" applyAlignment="1" pivotButton="0" quotePrefix="0" xfId="0">
      <alignment horizontal="right" vertical="center"/>
    </xf>
    <xf numFmtId="168" fontId="3" fillId="7" borderId="0" applyAlignment="1" pivotButton="0" quotePrefix="0" xfId="0">
      <alignment horizontal="right" vertical="center"/>
    </xf>
    <xf numFmtId="0" fontId="12" fillId="6" borderId="0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Scenario Comparison: Total Gross Revenue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'Dashboard'!B5</f>
            </strRef>
          </tx>
          <spPr>
            <a:ln w="20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'Dashboard'!$A$6:$A$10</f>
            </numRef>
          </cat>
          <val>
            <numRef>
              <f>'Dashboard'!$B$6:$B$10</f>
            </numRef>
          </val>
        </ser>
        <ser>
          <idx val="1"/>
          <order val="1"/>
          <tx>
            <strRef>
              <f>'Dashboard'!C5</f>
            </strRef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'Dashboard'!$A$6:$A$10</f>
            </numRef>
          </cat>
          <val>
            <numRef>
              <f>'Dashboard'!$C$6:$C$10</f>
            </numRef>
          </val>
        </ser>
        <ser>
          <idx val="2"/>
          <order val="2"/>
          <tx>
            <strRef>
              <f>'Dashboard'!D5</f>
            </strRef>
          </tx>
          <spPr>
            <a:ln w="20000">
              <a:solidFill>
                <a:srgbClr val="00B05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'Dashboard'!$A$6:$A$10</f>
            </numRef>
          </cat>
          <val>
            <numRef>
              <f>'Dashboard'!$D$6:$D$10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Revenue (£)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Streams Breakdown</a:t>
            </a:r>
          </a:p>
        </rich>
      </tx>
    </title>
    <plotArea>
      <areaChart>
        <grouping val="stacked"/>
        <ser>
          <idx val="0"/>
          <order val="0"/>
          <tx>
            <strRef>
              <f>'Dashboard'!O5</f>
            </strRef>
          </tx>
          <spPr>
            <a:solidFill>
              <a:srgbClr val="1F4E79"/>
            </a:solidFill>
            <a:ln>
              <a:prstDash val="solid"/>
            </a:ln>
          </spPr>
          <cat>
            <numRef>
              <f>'Dashboard'!$N$6:$N$10</f>
            </numRef>
          </cat>
          <val>
            <numRef>
              <f>'Dashboard'!$O$6:$O$10</f>
            </numRef>
          </val>
        </ser>
        <ser>
          <idx val="1"/>
          <order val="1"/>
          <tx>
            <strRef>
              <f>'Dashboard'!P5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'Dashboard'!$N$6:$N$10</f>
            </numRef>
          </cat>
          <val>
            <numRef>
              <f>'Dashboard'!$P$6:$P$10</f>
            </numRef>
          </val>
        </ser>
        <ser>
          <idx val="2"/>
          <order val="2"/>
          <tx>
            <strRef>
              <f>'Dashboard'!Q5</f>
            </strRef>
          </tx>
          <spPr>
            <a:solidFill>
              <a:srgbClr val="00B050"/>
            </a:solidFill>
            <a:ln>
              <a:prstDash val="solid"/>
            </a:ln>
          </spPr>
          <cat>
            <numRef>
              <f>'Dashboard'!$N$6:$N$10</f>
            </numRef>
          </cat>
          <val>
            <numRef>
              <f>'Dashboard'!$Q$6:$Q$10</f>
            </numRef>
          </val>
        </ser>
        <axId val="10"/>
        <axId val="100"/>
      </area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Revenue (£)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kWh Revenue: 15-Year Projection (2026–2040)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'Dashboard'!B22</f>
            </strRef>
          </tx>
          <spPr>
            <a:ln w="20000">
              <a:solidFill>
                <a:srgbClr val="00B05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'Dashboard'!$A$23:$A$37</f>
            </numRef>
          </cat>
          <val>
            <numRef>
              <f>'Dashboard'!$B$23:$B$37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kWh Revenue (£)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Core Financials: EBIT &amp; Net Income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'Dashboard'!O22</f>
            </strRef>
          </tx>
          <spPr>
            <a:solidFill>
              <a:srgbClr val="1F4E79"/>
            </a:solidFill>
            <a:ln>
              <a:prstDash val="solid"/>
            </a:ln>
          </spPr>
          <cat>
            <numRef>
              <f>'Dashboard'!$N$23:$N$27</f>
            </numRef>
          </cat>
          <val>
            <numRef>
              <f>'Dashboard'!$O$23:$O$27</f>
            </numRef>
          </val>
        </ser>
        <ser>
          <idx val="1"/>
          <order val="1"/>
          <tx>
            <strRef>
              <f>'Dashboard'!P22</f>
            </strRef>
          </tx>
          <spPr>
            <a:solidFill>
              <a:srgbClr val="00B050"/>
            </a:solidFill>
            <a:ln>
              <a:prstDash val="solid"/>
            </a:ln>
          </spPr>
          <cat>
            <numRef>
              <f>'Dashboard'!$N$23:$N$27</f>
            </numRef>
          </cat>
          <val>
            <numRef>
              <f>'Dashboard'!$P$23:$P$27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 (£)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Targeted Funds Raised (Base Case)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'Dashboard'!B39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'Dashboard'!$A$40:$A$44</f>
            </numRef>
          </cat>
          <val>
            <numRef>
              <f>'Dashboard'!$B$40:$B$44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Funds Raised (£)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Cap Table: Final Ownership Distribution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'Dashboard'!B56</f>
            </strRef>
          </tx>
          <spPr>
            <a:ln>
              <a:prstDash val="solid"/>
            </a:ln>
          </spPr>
          <cat>
            <numRef>
              <f>'Dashboard'!$A$57:$A$63</f>
            </numRef>
          </cat>
          <val>
            <numRef>
              <f>'Dashboard'!$B$57:$B$63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Joule Model</author>
  </authors>
  <commentList>
    <comment ref="C7" authorId="0" shapeId="0">
      <text>
        <t>Upfront fee: 2% charged on total funds raised in that year.
Source: Company fee schedule.</t>
      </text>
    </comment>
    <comment ref="C8" authorId="0" shapeId="0">
      <text>
        <t>Completion fee: 0.5% of total project funds raised, recognised
evenly (straight-line) over the 3-year project build period.
Annual recognition = 0.5% / 3 = 0.1667% per year.</t>
      </text>
    </comment>
    <comment ref="C11" authorId="0" shapeId="0">
      <text>
        <t>kWh Revenue Calculation Basis (Source: UK DESNZ):
Wind turbine: 2-3 MW capacity, 6,000-8,000 MWh/yr output.
Midpoints used: 2.5 MW, 7,000 MWh, £3.3M cost per turbine.
Formula: Funds ÷ £3.3M × 7,000 MWh × £0.01/kWh ≈ 2.12% of Funds p.a.
See UK DESNZ LCOE estimates: https://www.gov.uk/government/collections/energy-statistics</t>
      </text>
    </comment>
    <comment ref="C12" authorId="0" shapeId="0">
      <text>
        <t>kWh contracts are assumed to run for 10 years post-completion.
This model forecasts only 5 years; kWh revenue continues beyond the
model period and is not captured here.</t>
      </text>
    </comment>
    <comment ref="C16" authorId="0" shapeId="0">
      <text>
        <t>Base case: 3 projects × £6M avg raise = £18M
2027: 7 × £8M = £56M | 2028: 15 × £10M = £150M
2029: 24 × £13M = £312M | 2030: 36 × £16M = £576M</t>
      </text>
    </comment>
    <comment ref="C19" authorId="0" shapeId="0">
      <text>
        <t>Worst case = Base × 0.6  (40% haircut on Funds Raised)</t>
      </text>
    </comment>
    <comment ref="C20" authorId="0" shapeId="0">
      <text>
        <t>Best case  = Base × 1.4  (40% uplift on Funds Raised)</t>
      </text>
    </comment>
    <comment ref="C48" authorId="0" shapeId="0">
      <text>
        <t>UK HMRC Loss Carry-Forward Rules (post-April 2017):
Trading losses may be carried forward indefinitely.
From 1 April 2017, losses can only offset up to 50% of annual
profits exceeding £5M (the deductions allowance). This model
applies the £5M annual deduction limit as a simplification.
Source: HMRC CTM04800 / Finance Act 2017.</t>
      </text>
    </comment>
  </commentList>
</comments>
</file>

<file path=xl/comments/comment2.xml><?xml version="1.0" encoding="utf-8"?>
<comments xmlns="http://schemas.openxmlformats.org/spreadsheetml/2006/main">
  <authors>
    <author>Joule Model</author>
  </authors>
  <commentList>
    <comment ref="A6" authorId="0" shapeId="0">
      <text>
        <t>Driven by scenario selector on Assumptions tab.
References Scenarios!C12:G12 (active scenario row).</t>
      </text>
    </comment>
    <comment ref="A8" authorId="0" shapeId="0">
      <text>
        <t>Completion fee = 0.5% of project funds raised.
Recognised straight-line over 3-year build.
Annual recognition: (0.5% / 3) × sum of active cohorts.
Year 1: 1/3 × 0.5% × Funds_2026
Year 2: 1/3 × 0.5% × (Funds_2026 + Funds_2027)
Year 3: 1/3 × 0.5% × (Funds_2026 + Funds_2027 + Funds_2028)
Year 4: 1/3 × 0.5% × (Funds_2027 + Funds_2028 + Funds_2029)
Year 5: 1/3 × 0.5% × (Funds_2028 + Funds_2029 + Funds_2030)</t>
      </text>
    </comment>
    <comment ref="A9" authorId="0" shapeId="0">
      <text>
        <t>kWh revenue starts the year after project completion (3-year build).
Y1 projects complete at end of 2028, so kWh starts in 2029.
2026-2028: £0 (no completed projects yet)
2029: 2.12% × Funds_2026 (2026 cohort now generating)
2030: 2.12% × (Funds_2026 + Funds_2027) (both cohorts generating)
kWh contract duration: 10 years. Model shows 5 years only.</t>
      </text>
    </comment>
    <comment ref="A29" authorId="0" shapeId="0">
      <text>
        <t>UK Corporation Tax: Small Profits Rate 19% (profits ≤ £50K),
Main Rate 25% (profits &gt; £250K), marginal relief in between.
Tax paid 9 months after year-end (modelled as next-year cash outflow).
Loss carry-forward: unlimited duration; £5M annual deduction limit.
Source: HMRC CTM04800 / Finance Act 2017.</t>
      </text>
    </comment>
    <comment ref="A33" authorId="0" shapeId="0">
      <text>
        <t>UK Corp Tax with marginal relief:
  ≤ £50K: 19% × Profit
  £50K–£250K: 25% × P − (£250K − P) × 3/200
  &gt; £250K: 25% × Profit</t>
      </text>
    </comment>
  </commentList>
</comments>
</file>

<file path=xl/comments/comment3.xml><?xml version="1.0" encoding="utf-8"?>
<comments xmlns="http://schemas.openxmlformats.org/spreadsheetml/2006/main">
  <authors>
    <author>Joule Model</author>
  </authors>
  <commentList>
    <comment ref="A7" authorId="0" shapeId="0">
      <text>
        <t>DSO = 45 days (from Assumptions!C55)</t>
      </text>
    </comment>
    <comment ref="A12" authorId="0" shapeId="0">
      <text>
        <t>DPO = 30 days (from Assumptions!C56)</t>
      </text>
    </comment>
    <comment ref="A13" authorId="0" shapeId="0">
      <text>
        <t>Tax paid 9 months after year-end.
Current year tax provision = liability on Balance Sheet.
Cash payment shown as prior-year outflow in Cash Flow.</t>
      </text>
    </comment>
    <comment ref="C22" authorId="0" shapeId="0">
      <text>
        <t>Balance Check = Total Assets − Total Liabilities − Total Equity.
Should equal £0 in every column.
Non-zero indicates a formula error — check Cash Flow linkage.</t>
      </text>
    </comment>
  </commentList>
</comments>
</file>

<file path=xl/comments/comment4.xml><?xml version="1.0" encoding="utf-8"?>
<comments xmlns="http://schemas.openxmlformats.org/spreadsheetml/2006/main">
  <authors>
    <author>Joule Model</author>
  </authors>
  <commentList>
    <comment ref="A7" authorId="0" shapeId="0">
      <text>
        <t>Cash impact: −(Current AR − Prior AR)
Increase in AR = customers owe more = cash not yet received.</t>
      </text>
    </comment>
    <comment ref="A8" authorId="0" shapeId="0">
      <text>
        <t>Cash impact: Current AP − Prior AP
Increase in AP = owing more to suppliers = cash retained.</t>
      </text>
    </comment>
    <comment ref="A9" authorId="0" shapeId="0">
      <text>
        <t>Indirect method tax adjustment:
+ Current year tax provision  (non-cash deduction — not yet paid)
− Prior year tax provision  (now settled in cash, 9-month lag)
Net = change in Tax Payable balance.
This ensures the Balance Sheet balances correctly.</t>
      </text>
    </comment>
  </commentList>
</comments>
</file>

<file path=xl/comments/comment5.xml><?xml version="1.0" encoding="utf-8"?>
<comments xmlns="http://schemas.openxmlformats.org/spreadsheetml/2006/main">
  <authors>
    <author>Joule Model</author>
  </authors>
  <commentList>
    <comment ref="C10" authorId="0" shapeId="0">
      <text>
        <t>Tiered discount rates (FAST VC convention):
  Y1-3:  50% (highest risk — early stage)
  Y4-6:  35% (growth stage)
  Y7-10: 25% (more mature, lower risk)
Discount is compounded through each tier cumulatively.</t>
      </text>
    </comment>
    <comment ref="D18" authorId="0" shapeId="0">
      <text>
        <t>Years 1-5: linked directly to 'Income Statement'!C10:G10 (Total Gross Revenue).
Years 6-10: prior year revenue × (1 + Revenue CAGR Y5-Y10) = 60% growth.</t>
      </text>
    </comment>
    <comment ref="A26" authorId="0" shapeId="0">
      <text>
        <t>Cash logic by year:
  Exit year (5): linked to 'Balance Sheet'!G6 (closing cash 2030)
  Years 6-10: 2% of net revenue (proxy for cash balance)
  All other years: £0</t>
      </text>
    </comment>
    <comment ref="A27" authorId="0" shapeId="0">
      <text>
        <t>Equity Value calculation:
  Years 1-5 (up to exit): EV + Financial Debt + Cash
  Years 6-10 (post-exit): prior year Equity Value × (1 + Equity Growth Rate)</t>
      </text>
    </comment>
    <comment ref="A28" authorId="0" shapeId="0">
      <text>
        <t>Tiered discount rate:
  Years 1-3:  50% (C10)
  Years 4-6:  35% (C11)
  Years 7-10: 25% (C12)</t>
      </text>
    </comment>
    <comment ref="A31" authorId="0" shapeId="0">
      <text>
        <t>Present Value uses compound tiered discounting:
  PV = Equity Value / ((1+r_y1_3)^y1_3_yrs × (1+r_y3_6)^y3_6_yrs × (1+r_y6_10)^y6_10_yrs)
  Only calculated from exit year (5) onwards.
  y1_3_yrs = MIN(n,3)
  y3_6_yrs = MAX(0, MIN(n,6)-3)
  y6_10_yrs = MAX(0, n-6)</t>
      </text>
    </comment>
    <comment ref="C35" authorId="0" shapeId="0">
      <text>
        <t>Linked to Cap Table!C9 — Pre-seed T1 ownership % granted at round.</t>
      </text>
    </comment>
    <comment ref="C36" authorId="0" shapeId="0">
      <text>
        <t>Dilution = Pre-seed T1 final ownership % (Section D, row 30) minus initial stake (Section B, row 9).
Negative value = dilution from subsequent funding rounds.</t>
      </text>
    </comment>
    <comment ref="C40" authorId="0" shapeId="0">
      <text>
        <t>IRR uses Excel's built-in IRR() function on the investor cash flow series.
Cash flows: Year 0 = -Investment; Years 1-4 = 0; Year 5 = Exit Proceeds; Years 6-10 = 0.</t>
      </text>
    </comment>
  </commentList>
</comments>
</file>

<file path=xl/comments/comment6.xml><?xml version="1.0" encoding="utf-8"?>
<comments xmlns="http://schemas.openxmlformats.org/spreadsheetml/2006/main">
  <authors>
    <author>Joule Model</author>
  </authors>
  <commentList>
    <comment ref="J2" authorId="0" shapeId="0">
      <text>
        <t>GBP/USD FX rate used for $ conversions.
Hardcoded fallback = 0.7577. Update cell directly to refresh $ columns.</t>
      </text>
    </comment>
    <comment ref="B5" authorId="0" shapeId="0">
      <text>
        <t>Founder shares: 1,000,000 (from Assumptions)</t>
      </text>
    </comment>
    <comment ref="D8" authorId="0" shapeId="0">
      <text>
        <t>Shares Issued formula (correct cumulative dilution):
  new_shares = cumulative_shares / (1 - ownership_pct) - cumulative_shares
  Uses running total of ALL shares outstanding before this round.
  This ensures investors receive exactly their target post-round ownership %.</t>
      </text>
    </comment>
    <comment ref="G9" authorId="0" shapeId="0">
      <text>
        <t>Linked to Valuation sheet Enterprise Value (row 24, col C).
EV = Revenue × 7x multiple.</t>
      </text>
    </comment>
    <comment ref="G10" authorId="0" shapeId="0">
      <text>
        <t>Linked to Valuation sheet Enterprise Value (row 24, col D).
EV = Revenue × 7x multiple.</t>
      </text>
    </comment>
    <comment ref="G11" authorId="0" shapeId="0">
      <text>
        <t>Linked to Valuation sheet Enterprise Value (row 24, col D).
EV = Revenue × 7x multiple.</t>
      </text>
    </comment>
    <comment ref="G12" authorId="0" shapeId="0">
      <text>
        <t>Linked to Valuation sheet Enterprise Value (row 24, col E).
EV = Revenue × 7x multiple.</t>
      </text>
    </comment>
    <comment ref="G13" authorId="0" shapeId="0">
      <text>
        <t>Linked to Valuation sheet Enterprise Value (row 24, col F).
EV = Revenue × 7x multiple.</t>
      </text>
    </comment>
    <comment ref="G14" authorId="0" shapeId="0">
      <text>
        <t>Linked to Valuation sheet Enterprise Value (row 24, col G).
EV = Revenue × 7x multiple.</t>
      </text>
    </comment>
    <comment ref="C36" authorId="0" shapeId="0">
      <text>
        <t>Should equal 100%. If not, check shares-issued formulas.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17</col>
      <colOff>0</colOff>
      <row>4</row>
      <rowOff>0</rowOff>
    </from>
    <ext cx="72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720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17</col>
      <colOff>0</colOff>
      <row>21</row>
      <rowOff>0</rowOff>
    </from>
    <ext cx="720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38</row>
      <rowOff>0</rowOff>
    </from>
    <ext cx="7200000" cy="43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55</row>
      <rowOff>0</rowOff>
    </from>
    <ext cx="7200000" cy="43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H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6" customWidth="1" min="8" max="8"/>
  </cols>
  <sheetData>
    <row r="1" ht="24" customHeight="1">
      <c r="A1" s="1" t="inlineStr">
        <is>
          <t>JOULE FINANCIAL MODEL — ASSUMPTIONS</t>
        </is>
      </c>
      <c r="B1" s="2" t="n"/>
      <c r="C1" s="2" t="n"/>
      <c r="D1" s="2" t="n"/>
      <c r="E1" s="2" t="n"/>
      <c r="F1" s="2" t="n"/>
      <c r="G1" s="2" t="n"/>
      <c r="H1" s="2" t="n"/>
    </row>
    <row r="3">
      <c r="A3" s="1" t="inlineStr">
        <is>
          <t>SCENARIO SELECTOR</t>
        </is>
      </c>
      <c r="B3" s="2" t="n"/>
      <c r="C3" s="2" t="n"/>
      <c r="D3" s="2" t="n"/>
      <c r="E3" s="2" t="n"/>
      <c r="F3" s="2" t="n"/>
      <c r="G3" s="2" t="n"/>
      <c r="H3" s="2" t="n"/>
    </row>
    <row r="4">
      <c r="A4" s="3" t="inlineStr">
        <is>
          <t>Select Scenario:</t>
        </is>
      </c>
      <c r="C4" s="4" t="inlineStr">
        <is>
          <t>Base</t>
        </is>
      </c>
      <c r="H4" s="3" t="inlineStr">
        <is>
          <t>Choose: Worst / Base / Best  (affects Total Funds Raised only)</t>
        </is>
      </c>
    </row>
    <row r="6">
      <c r="A6" s="1" t="inlineStr">
        <is>
          <t>FEE STRUCTURE</t>
        </is>
      </c>
      <c r="B6" s="2" t="n"/>
      <c r="C6" s="2" t="n"/>
      <c r="D6" s="2" t="n"/>
      <c r="E6" s="2" t="n"/>
      <c r="F6" s="2" t="n"/>
      <c r="G6" s="2" t="n"/>
      <c r="H6" s="2" t="n"/>
    </row>
    <row r="7">
      <c r="A7" s="3" t="inlineStr">
        <is>
          <t>Upfront Fee Rate (% of Funds Raised)</t>
        </is>
      </c>
      <c r="C7" s="5" t="n">
        <v>0.02</v>
      </c>
    </row>
    <row r="8">
      <c r="A8" s="3" t="inlineStr">
        <is>
          <t>Completion Fee Rate (% of Funds Raised, total)</t>
        </is>
      </c>
      <c r="C8" s="5" t="n">
        <v>0.005</v>
      </c>
    </row>
    <row r="9">
      <c r="A9" s="3" t="inlineStr">
        <is>
          <t>Project Completion Time (Years, straight-line spread)</t>
        </is>
      </c>
      <c r="C9" s="6" t="n">
        <v>3</v>
      </c>
    </row>
    <row r="10">
      <c r="A10" s="3" t="inlineStr">
        <is>
          <t>kWh Fee Rate (£ per kWh)</t>
        </is>
      </c>
      <c r="C10" s="7" t="n">
        <v>0.01</v>
      </c>
    </row>
    <row r="11">
      <c r="A11" s="3" t="inlineStr">
        <is>
          <t>kWh Revenue Rate (% of Funds Raised, annual recurring)</t>
        </is>
      </c>
      <c r="C11" s="5" t="n">
        <v>0.0212</v>
      </c>
    </row>
    <row r="12">
      <c r="A12" s="3" t="inlineStr">
        <is>
          <t>kWh Contract Duration (Years, model shows 5 years only)</t>
        </is>
      </c>
      <c r="C12" s="6" t="n">
        <v>10</v>
      </c>
    </row>
    <row r="14">
      <c r="A14" s="1" t="inlineStr">
        <is>
          <t>BASE CASE — TOTAL FUNDS RAISED PER YEAR</t>
        </is>
      </c>
      <c r="B14" s="2" t="n"/>
      <c r="C14" s="2" t="n"/>
      <c r="D14" s="2" t="n"/>
      <c r="E14" s="2" t="n"/>
      <c r="F14" s="2" t="n"/>
      <c r="G14" s="2" t="n"/>
      <c r="H14" s="2" t="n"/>
    </row>
    <row r="15">
      <c r="A15" s="8" t="inlineStr">
        <is>
          <t>Year →</t>
        </is>
      </c>
      <c r="C15" s="9" t="n">
        <v>2026</v>
      </c>
      <c r="D15" s="9" t="n">
        <v>2027</v>
      </c>
      <c r="E15" s="9" t="n">
        <v>2028</v>
      </c>
      <c r="F15" s="9" t="n">
        <v>2029</v>
      </c>
      <c r="G15" s="9" t="n">
        <v>2030</v>
      </c>
    </row>
    <row r="16">
      <c r="A16" s="3" t="inlineStr">
        <is>
          <t>Total Funds Raised (Base Case)</t>
        </is>
      </c>
      <c r="C16" s="10" t="n">
        <v>18000000</v>
      </c>
      <c r="D16" s="10" t="n">
        <v>56000000</v>
      </c>
      <c r="E16" s="10" t="n">
        <v>150000000</v>
      </c>
      <c r="F16" s="10" t="n">
        <v>312000000</v>
      </c>
      <c r="G16" s="10" t="n">
        <v>576000000</v>
      </c>
    </row>
    <row r="18">
      <c r="A18" s="1" t="inlineStr">
        <is>
          <t>SCENARIO MULTIPLIERS (applied to Total Funds Raised)</t>
        </is>
      </c>
      <c r="B18" s="2" t="n"/>
      <c r="C18" s="2" t="n"/>
      <c r="D18" s="2" t="n"/>
      <c r="E18" s="2" t="n"/>
      <c r="F18" s="2" t="n"/>
      <c r="G18" s="2" t="n"/>
      <c r="H18" s="2" t="n"/>
    </row>
    <row r="19">
      <c r="A19" s="3" t="inlineStr">
        <is>
          <t>Worst Case Multiplier</t>
        </is>
      </c>
      <c r="C19" s="11" t="n">
        <v>0.6</v>
      </c>
    </row>
    <row r="20">
      <c r="A20" s="3" t="inlineStr">
        <is>
          <t>Best Case Multiplier</t>
        </is>
      </c>
      <c r="C20" s="11" t="n">
        <v>1.4</v>
      </c>
    </row>
    <row r="22">
      <c r="A22" s="1" t="inlineStr">
        <is>
          <t>COST OF GOODS SOLD (COGS)</t>
        </is>
      </c>
      <c r="B22" s="2" t="n"/>
      <c r="C22" s="2" t="n"/>
      <c r="D22" s="2" t="n"/>
      <c r="E22" s="2" t="n"/>
      <c r="F22" s="2" t="n"/>
      <c r="G22" s="2" t="n"/>
      <c r="H22" s="2" t="n"/>
    </row>
    <row r="23">
      <c r="A23" s="8" t="inlineStr">
        <is>
          <t>Year →</t>
        </is>
      </c>
      <c r="C23" s="9" t="n">
        <v>2026</v>
      </c>
      <c r="D23" s="9" t="n">
        <v>2027</v>
      </c>
      <c r="E23" s="9" t="n">
        <v>2028</v>
      </c>
      <c r="F23" s="9" t="n">
        <v>2029</v>
      </c>
      <c r="G23" s="9" t="n">
        <v>2030</v>
      </c>
    </row>
    <row r="24">
      <c r="A24" s="3" t="inlineStr">
        <is>
          <t>Smart Contract Deployment &amp; Audits (£)</t>
        </is>
      </c>
      <c r="C24" s="10" t="n">
        <v>185000</v>
      </c>
      <c r="D24" s="10" t="n">
        <v>170000</v>
      </c>
      <c r="E24" s="10" t="n">
        <v>105000</v>
      </c>
      <c r="F24" s="10" t="n">
        <v>115000</v>
      </c>
      <c r="G24" s="10" t="n">
        <v>130000</v>
      </c>
    </row>
    <row r="25">
      <c r="A25" s="3" t="inlineStr">
        <is>
          <t>Hosting &amp; API Costs (% of Gross Revenue)</t>
        </is>
      </c>
      <c r="C25" s="5" t="n">
        <v>0.015</v>
      </c>
      <c r="D25" s="3" t="inlineStr">
        <is>
          <t>(same % applies each year)</t>
        </is>
      </c>
    </row>
    <row r="27">
      <c r="A27" s="1" t="inlineStr">
        <is>
          <t>OPERATING EXPENSES — YEAR 1 / 2026 (HARDCODED £)</t>
        </is>
      </c>
      <c r="B27" s="2" t="n"/>
      <c r="C27" s="2" t="n"/>
      <c r="D27" s="2" t="n"/>
      <c r="E27" s="2" t="n"/>
      <c r="F27" s="2" t="n"/>
      <c r="G27" s="2" t="n"/>
      <c r="H27" s="2" t="n"/>
    </row>
    <row r="28">
      <c r="A28" s="3" t="inlineStr">
        <is>
          <t>Salaries</t>
        </is>
      </c>
      <c r="C28" s="10" t="n">
        <v>225000</v>
      </c>
    </row>
    <row r="29">
      <c r="A29" s="3" t="inlineStr">
        <is>
          <t>Marketing &amp; Growth</t>
        </is>
      </c>
      <c r="C29" s="10" t="n">
        <v>50000</v>
      </c>
    </row>
    <row r="30">
      <c r="A30" s="3" t="inlineStr">
        <is>
          <t>Legal &amp; Regulatory</t>
        </is>
      </c>
      <c r="C30" s="10" t="n">
        <v>100000</v>
      </c>
    </row>
    <row r="31">
      <c r="A31" s="3" t="inlineStr">
        <is>
          <t>Insurance</t>
        </is>
      </c>
      <c r="C31" s="10" t="n">
        <v>20000</v>
      </c>
    </row>
    <row r="32">
      <c r="A32" s="3" t="inlineStr">
        <is>
          <t>R&amp;D</t>
        </is>
      </c>
      <c r="C32" s="10" t="n">
        <v>50000</v>
      </c>
    </row>
    <row r="34">
      <c r="A34" s="1" t="inlineStr">
        <is>
          <t>OPERATING EXPENSES — YEARS 2–5 (% OF GROSS REVENUE)</t>
        </is>
      </c>
      <c r="B34" s="2" t="n"/>
      <c r="C34" s="2" t="n"/>
      <c r="D34" s="2" t="n"/>
      <c r="E34" s="2" t="n"/>
      <c r="F34" s="2" t="n"/>
      <c r="G34" s="2" t="n"/>
      <c r="H34" s="2" t="n"/>
    </row>
    <row r="35">
      <c r="A35" s="8" t="inlineStr">
        <is>
          <t>Year →</t>
        </is>
      </c>
      <c r="D35" s="9" t="n">
        <v>2027</v>
      </c>
      <c r="E35" s="9" t="n">
        <v>2028</v>
      </c>
      <c r="F35" s="9" t="n">
        <v>2029</v>
      </c>
      <c r="G35" s="9" t="n">
        <v>2030</v>
      </c>
    </row>
    <row r="36">
      <c r="A36" s="3" t="inlineStr">
        <is>
          <t>Salaries %</t>
        </is>
      </c>
      <c r="D36" s="5" t="n">
        <v>0.25</v>
      </c>
      <c r="E36" s="5" t="n">
        <v>0.25</v>
      </c>
      <c r="F36" s="5" t="n">
        <v>0.25</v>
      </c>
      <c r="G36" s="5" t="n">
        <v>0.25</v>
      </c>
    </row>
    <row r="37">
      <c r="A37" s="3" t="inlineStr">
        <is>
          <t>Marketing &amp; Growth %</t>
        </is>
      </c>
      <c r="D37" s="5" t="n">
        <v>0.12</v>
      </c>
      <c r="E37" s="5" t="n">
        <v>0.07000000000000001</v>
      </c>
      <c r="F37" s="5" t="n">
        <v>0.07000000000000001</v>
      </c>
      <c r="G37" s="5" t="n">
        <v>0.07000000000000001</v>
      </c>
    </row>
    <row r="38">
      <c r="A38" s="3" t="inlineStr">
        <is>
          <t>Legal &amp; Regulatory %</t>
        </is>
      </c>
      <c r="D38" s="5" t="n">
        <v>0.08</v>
      </c>
      <c r="E38" s="5" t="n">
        <v>0.08</v>
      </c>
      <c r="F38" s="5" t="n">
        <v>0.08</v>
      </c>
      <c r="G38" s="5" t="n">
        <v>0.08</v>
      </c>
    </row>
    <row r="39">
      <c r="A39" s="3" t="inlineStr">
        <is>
          <t>Insurance %</t>
        </is>
      </c>
      <c r="D39" s="5" t="n">
        <v>0.02</v>
      </c>
      <c r="E39" s="5" t="n">
        <v>0.01</v>
      </c>
      <c r="F39" s="5" t="n">
        <v>0.01</v>
      </c>
      <c r="G39" s="5" t="n">
        <v>0.01</v>
      </c>
    </row>
    <row r="40">
      <c r="A40" s="3" t="inlineStr">
        <is>
          <t>R&amp;D %</t>
        </is>
      </c>
      <c r="D40" s="5" t="n">
        <v>0.19</v>
      </c>
      <c r="E40" s="5" t="n">
        <v>0.11</v>
      </c>
      <c r="F40" s="5" t="n">
        <v>0.05</v>
      </c>
      <c r="G40" s="5" t="n">
        <v>0.05</v>
      </c>
    </row>
    <row r="42">
      <c r="A42" s="1" t="inlineStr">
        <is>
          <t>TAX ASSUMPTIONS</t>
        </is>
      </c>
      <c r="B42" s="2" t="n"/>
      <c r="C42" s="2" t="n"/>
      <c r="D42" s="2" t="n"/>
      <c r="E42" s="2" t="n"/>
      <c r="F42" s="2" t="n"/>
      <c r="G42" s="2" t="n"/>
      <c r="H42" s="2" t="n"/>
    </row>
    <row r="43">
      <c r="A43" s="3" t="inlineStr">
        <is>
          <t>Small Profits Rate (profits ≤ £50,000)</t>
        </is>
      </c>
      <c r="C43" s="5" t="n">
        <v>0.19</v>
      </c>
    </row>
    <row r="44">
      <c r="A44" s="3" t="inlineStr">
        <is>
          <t>Main Rate (profits &gt; £250,000)</t>
        </is>
      </c>
      <c r="C44" s="5" t="n">
        <v>0.25</v>
      </c>
    </row>
    <row r="45">
      <c r="A45" s="3" t="inlineStr">
        <is>
          <t>Lower Profits Threshold (£)</t>
        </is>
      </c>
      <c r="C45" s="12" t="n">
        <v>50000</v>
      </c>
    </row>
    <row r="46">
      <c r="A46" s="3" t="inlineStr">
        <is>
          <t>Upper Profits Threshold (£)</t>
        </is>
      </c>
      <c r="C46" s="12" t="n">
        <v>250000</v>
      </c>
    </row>
    <row r="47">
      <c r="A47" s="3" t="inlineStr">
        <is>
          <t>Tax Payment Lag (months after year-end)</t>
        </is>
      </c>
      <c r="C47" s="6" t="n">
        <v>9</v>
      </c>
    </row>
    <row r="48">
      <c r="A48" s="3" t="inlineStr">
        <is>
          <t>Loss Carry-Forward Annual Deduction Limit (£)</t>
        </is>
      </c>
      <c r="C48" s="12" t="n">
        <v>5000000</v>
      </c>
    </row>
    <row r="50">
      <c r="A50" s="1" t="inlineStr">
        <is>
          <t>EQUITY RAISES</t>
        </is>
      </c>
      <c r="B50" s="2" t="n"/>
      <c r="C50" s="2" t="n"/>
      <c r="D50" s="2" t="n"/>
      <c r="E50" s="2" t="n"/>
      <c r="F50" s="2" t="n"/>
      <c r="G50" s="2" t="n"/>
      <c r="H50" s="2" t="n"/>
    </row>
    <row r="51">
      <c r="A51" s="8" t="inlineStr">
        <is>
          <t>Year →</t>
        </is>
      </c>
      <c r="C51" s="9" t="n">
        <v>2026</v>
      </c>
      <c r="D51" s="9" t="n">
        <v>2027</v>
      </c>
      <c r="E51" s="9" t="n">
        <v>2028</v>
      </c>
      <c r="F51" s="9" t="n">
        <v>2029</v>
      </c>
      <c r="G51" s="9" t="n">
        <v>2030</v>
      </c>
    </row>
    <row r="52">
      <c r="A52" s="3" t="inlineStr">
        <is>
          <t>Equity Raised (£)</t>
        </is>
      </c>
      <c r="C52" s="10" t="n">
        <v>500000</v>
      </c>
      <c r="D52" s="10" t="n">
        <v>1500000</v>
      </c>
      <c r="E52" s="10" t="n">
        <v>4000000</v>
      </c>
      <c r="F52" s="10" t="n">
        <v>0</v>
      </c>
      <c r="G52" s="10" t="n">
        <v>9000000</v>
      </c>
    </row>
    <row r="54">
      <c r="A54" s="1" t="inlineStr">
        <is>
          <t>WORKING CAPITAL</t>
        </is>
      </c>
      <c r="B54" s="2" t="n"/>
      <c r="C54" s="2" t="n"/>
      <c r="D54" s="2" t="n"/>
      <c r="E54" s="2" t="n"/>
      <c r="F54" s="2" t="n"/>
      <c r="G54" s="2" t="n"/>
      <c r="H54" s="2" t="n"/>
    </row>
    <row r="55">
      <c r="A55" s="3" t="inlineStr">
        <is>
          <t>Days Sales Outstanding / DSO (days)</t>
        </is>
      </c>
      <c r="C55" s="6" t="n">
        <v>45</v>
      </c>
    </row>
    <row r="56">
      <c r="A56" s="3" t="inlineStr">
        <is>
          <t>Days Payable Outstanding / DPO (days)</t>
        </is>
      </c>
      <c r="C56" s="6" t="n">
        <v>30</v>
      </c>
    </row>
    <row r="58">
      <c r="A58" s="1" t="inlineStr">
        <is>
          <t>OPENING BALANCES</t>
        </is>
      </c>
      <c r="B58" s="2" t="n"/>
      <c r="C58" s="2" t="n"/>
      <c r="D58" s="2" t="n"/>
      <c r="E58" s="2" t="n"/>
      <c r="F58" s="2" t="n"/>
      <c r="G58" s="2" t="n"/>
      <c r="H58" s="2" t="n"/>
    </row>
    <row r="59">
      <c r="A59" s="3" t="inlineStr">
        <is>
          <t>Opening Cash (before first equity raise, 2026)</t>
        </is>
      </c>
      <c r="C59" s="10" t="n">
        <v>0</v>
      </c>
      <c r="D59" s="3" t="inlineStr">
        <is>
          <t>Note: Y1 equity raise (£500K) provides initial operating cash (shown in Financing)</t>
        </is>
      </c>
    </row>
    <row r="61">
      <c r="A61" s="1" t="inlineStr">
        <is>
          <t>OTHER ASSUMPTIONS</t>
        </is>
      </c>
      <c r="B61" s="2" t="n"/>
      <c r="C61" s="2" t="n"/>
      <c r="D61" s="2" t="n"/>
      <c r="E61" s="2" t="n"/>
      <c r="F61" s="2" t="n"/>
      <c r="G61" s="2" t="n"/>
      <c r="H61" s="2" t="n"/>
    </row>
    <row r="62">
      <c r="A62" s="3" t="inlineStr">
        <is>
          <t>Capital Expenditure / CapEx (£)</t>
        </is>
      </c>
      <c r="C62" s="10" t="n">
        <v>0</v>
      </c>
      <c r="D62" s="3" t="inlineStr">
        <is>
          <t>Asset-light model; no CapEx planned</t>
        </is>
      </c>
    </row>
    <row r="63">
      <c r="A63" s="3" t="inlineStr">
        <is>
          <t>Project Attrition Rate (%)</t>
        </is>
      </c>
      <c r="C63" s="13" t="inlineStr"/>
      <c r="D63" s="3" t="inlineStr">
        <is>
          <t>Placeholder — leave blank. To be populated in future model iterations.</t>
        </is>
      </c>
    </row>
    <row r="65">
      <c r="A65" s="1" t="inlineStr">
        <is>
          <t>kWh REVENUE CALCULATION BASIS  (Source: UK DESNZ)</t>
        </is>
      </c>
      <c r="B65" s="2" t="n"/>
      <c r="C65" s="2" t="n"/>
      <c r="D65" s="2" t="n"/>
      <c r="E65" s="2" t="n"/>
      <c r="F65" s="2" t="n"/>
      <c r="G65" s="2" t="n"/>
      <c r="H65" s="2" t="n"/>
    </row>
    <row r="66">
      <c r="A66" s="3" t="inlineStr">
        <is>
          <t>Wind Turbine Capacity (MW, midpoint of 2–3 MW)</t>
        </is>
      </c>
      <c r="C66" s="11" t="n">
        <v>2.5</v>
      </c>
    </row>
    <row r="67">
      <c r="A67" s="3" t="inlineStr">
        <is>
          <t>Annual Output per Turbine (MWh, midpoint of 6,000–8,000)</t>
        </is>
      </c>
      <c r="C67" s="6" t="n">
        <v>7000</v>
      </c>
    </row>
    <row r="68">
      <c r="A68" s="3" t="inlineStr">
        <is>
          <t>Average Cost per Turbine (£, midpoint of £2.6M–£4M)</t>
        </is>
      </c>
      <c r="C68" s="12" t="n">
        <v>3300000</v>
      </c>
    </row>
    <row r="69">
      <c r="A69" s="8" t="inlineStr">
        <is>
          <t>kWh Revenue Formula:</t>
        </is>
      </c>
      <c r="C69" s="3" t="inlineStr">
        <is>
          <t>Funds Raised ÷ £3.3M × 7,000 MWh × £0.01/kWh  =  2.12% of Funds Raised p.a.</t>
        </is>
      </c>
    </row>
    <row r="70">
      <c r="A70" s="8" t="inlineStr">
        <is>
          <t>Reference:</t>
        </is>
      </c>
      <c r="C70" s="14" t="inlineStr">
        <is>
          <t>UK DESNZ LCOE estimates — https://www.gov.uk/government/collections/energy-statistics</t>
        </is>
      </c>
    </row>
    <row r="71">
      <c r="A71" s="15" t="inlineStr">
        <is>
          <t>Note: kWh contracts assumed 10 years; model period = 5 years only. Ongoing revenues not modelled beyond 2030.</t>
        </is>
      </c>
    </row>
  </sheetData>
  <mergeCells count="3">
    <mergeCell ref="C69:H69"/>
    <mergeCell ref="A71:H71"/>
    <mergeCell ref="C70:H70"/>
  </mergeCells>
  <dataValidations count="1">
    <dataValidation sqref="C4" showDropDown="0" showInputMessage="0" showErrorMessage="1" allowBlank="0" errorTitle="Invalid" error="Select Worst, Base, or Best" type="list">
      <formula1>"Worst,Base,Best"</formula1>
    </dataValidation>
  </dataValidations>
  <pageMargins left="0.75" right="0.75" top="1" bottom="1" header="0.5" footer="0.5"/>
  <pageSetup orientation="landscape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40" customWidth="1" min="8" max="8"/>
  </cols>
  <sheetData>
    <row r="1" ht="24" customHeight="1">
      <c r="A1" s="16" t="inlineStr">
        <is>
          <t>SCENARIOS — TOTAL FUNDS RAISED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17" t="inlineStr">
        <is>
          <t>Scenarios only affect Total Funds Raised. All other assumptions remain constant.</t>
        </is>
      </c>
    </row>
    <row r="4">
      <c r="A4" s="1" t="inlineStr">
        <is>
          <t>SCENARIO DATA TABLE</t>
        </is>
      </c>
      <c r="B4" s="2" t="n"/>
      <c r="C4" s="2" t="n"/>
      <c r="D4" s="2" t="n"/>
      <c r="E4" s="2" t="n"/>
      <c r="F4" s="2" t="n"/>
      <c r="G4" s="2" t="n"/>
      <c r="H4" s="2" t="n"/>
    </row>
    <row r="5">
      <c r="A5" s="18" t="inlineStr">
        <is>
          <t>Scenario</t>
        </is>
      </c>
      <c r="B5" s="8" t="inlineStr">
        <is>
          <t>Description</t>
        </is>
      </c>
      <c r="C5" s="9" t="n">
        <v>2026</v>
      </c>
      <c r="D5" s="9" t="n">
        <v>2027</v>
      </c>
      <c r="E5" s="9" t="n">
        <v>2028</v>
      </c>
      <c r="F5" s="9" t="n">
        <v>2029</v>
      </c>
      <c r="G5" s="9" t="n">
        <v>2030</v>
      </c>
      <c r="H5" s="18" t="inlineStr">
        <is>
          <t>Multiplier</t>
        </is>
      </c>
    </row>
    <row r="6">
      <c r="A6" s="4" t="inlineStr">
        <is>
          <t>Worst</t>
        </is>
      </c>
      <c r="B6" s="3" t="inlineStr">
        <is>
          <t>Base × 0.6  (40% reduction in Funds Raised)</t>
        </is>
      </c>
      <c r="C6" s="19">
        <f>Assumptions!C16*Assumptions!C19</f>
        <v/>
      </c>
      <c r="D6" s="19">
        <f>Assumptions!D16*Assumptions!C19</f>
        <v/>
      </c>
      <c r="E6" s="19">
        <f>Assumptions!E16*Assumptions!C19</f>
        <v/>
      </c>
      <c r="F6" s="19">
        <f>Assumptions!F16*Assumptions!C19</f>
        <v/>
      </c>
      <c r="G6" s="19">
        <f>Assumptions!G16*Assumptions!C19</f>
        <v/>
      </c>
      <c r="H6" s="20" t="inlineStr">
        <is>
          <t>0.6</t>
        </is>
      </c>
    </row>
    <row r="7">
      <c r="A7" s="4" t="inlineStr">
        <is>
          <t>Base</t>
        </is>
      </c>
      <c r="B7" s="3" t="inlineStr">
        <is>
          <t>Central assumption — as per business plan</t>
        </is>
      </c>
      <c r="C7" s="19">
        <f>Assumptions!C16</f>
        <v/>
      </c>
      <c r="D7" s="19">
        <f>Assumptions!D16</f>
        <v/>
      </c>
      <c r="E7" s="19">
        <f>Assumptions!E16</f>
        <v/>
      </c>
      <c r="F7" s="19">
        <f>Assumptions!F16</f>
        <v/>
      </c>
      <c r="G7" s="19">
        <f>Assumptions!G16</f>
        <v/>
      </c>
      <c r="H7" s="20" t="inlineStr">
        <is>
          <t>1.0</t>
        </is>
      </c>
    </row>
    <row r="8">
      <c r="A8" s="4" t="inlineStr">
        <is>
          <t>Best</t>
        </is>
      </c>
      <c r="B8" s="3" t="inlineStr">
        <is>
          <t>Base × 1.4  (40% uplift in Funds Raised)</t>
        </is>
      </c>
      <c r="C8" s="19">
        <f>Assumptions!C16*Assumptions!C20</f>
        <v/>
      </c>
      <c r="D8" s="19">
        <f>Assumptions!D16*Assumptions!C20</f>
        <v/>
      </c>
      <c r="E8" s="19">
        <f>Assumptions!E16*Assumptions!C20</f>
        <v/>
      </c>
      <c r="F8" s="19">
        <f>Assumptions!F16*Assumptions!C20</f>
        <v/>
      </c>
      <c r="G8" s="19">
        <f>Assumptions!G16*Assumptions!C20</f>
        <v/>
      </c>
      <c r="H8" s="20" t="inlineStr">
        <is>
          <t>1.4</t>
        </is>
      </c>
    </row>
    <row r="10">
      <c r="A10" s="1" t="inlineStr">
        <is>
          <t>ACTIVE SCENARIO (driven by Assumptions!C4 dropdown)</t>
        </is>
      </c>
      <c r="B10" s="2" t="n"/>
      <c r="C10" s="2" t="n"/>
      <c r="D10" s="2" t="n"/>
      <c r="E10" s="2" t="n"/>
      <c r="F10" s="2" t="n"/>
      <c r="G10" s="2" t="n"/>
      <c r="H10" s="2" t="n"/>
    </row>
    <row r="11">
      <c r="A11" s="8" t="inlineStr">
        <is>
          <t>Scenario →</t>
        </is>
      </c>
      <c r="B11" s="21">
        <f>Assumptions!C4</f>
        <v/>
      </c>
    </row>
    <row r="12" ht="16" customHeight="1">
      <c r="A12" s="8" t="inlineStr">
        <is>
          <t>Funds Raised</t>
        </is>
      </c>
      <c r="B12" s="3" t="inlineStr">
        <is>
          <t>(Active)</t>
        </is>
      </c>
      <c r="C12" s="19">
        <f>INDEX($C$6:$G$8,MATCH(Assumptions!$C$4,$A$6:$A$8,0),1)</f>
        <v/>
      </c>
      <c r="D12" s="19">
        <f>INDEX($C$6:$G$8,MATCH(Assumptions!$C$4,$A$6:$A$8,0),2)</f>
        <v/>
      </c>
      <c r="E12" s="19">
        <f>INDEX($C$6:$G$8,MATCH(Assumptions!$C$4,$A$6:$A$8,0),3)</f>
        <v/>
      </c>
      <c r="F12" s="19">
        <f>INDEX($C$6:$G$8,MATCH(Assumptions!$C$4,$A$6:$A$8,0),4)</f>
        <v/>
      </c>
      <c r="G12" s="19">
        <f>INDEX($C$6:$G$8,MATCH(Assumptions!$C$4,$A$6:$A$8,0),5)</f>
        <v/>
      </c>
    </row>
  </sheetData>
  <mergeCells count="1">
    <mergeCell ref="A2:H2"/>
  </mergeCell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H36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 ht="24" customHeight="1">
      <c r="A1" s="16" t="inlineStr">
        <is>
          <t>INCOME STATEMENT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All figures in GBP (£)</t>
        </is>
      </c>
    </row>
    <row r="3">
      <c r="A3" s="8" t="inlineStr">
        <is>
          <t>Year →</t>
        </is>
      </c>
      <c r="C3" s="9" t="n">
        <v>2026</v>
      </c>
      <c r="D3" s="9" t="n">
        <v>2027</v>
      </c>
      <c r="E3" s="9" t="n">
        <v>2028</v>
      </c>
      <c r="F3" s="9" t="n">
        <v>2029</v>
      </c>
      <c r="G3" s="9" t="n">
        <v>2030</v>
      </c>
    </row>
    <row r="5">
      <c r="A5" s="1" t="inlineStr">
        <is>
          <t>REVENUE</t>
        </is>
      </c>
      <c r="B5" s="2" t="n"/>
      <c r="C5" s="2" t="n"/>
      <c r="D5" s="2" t="n"/>
      <c r="E5" s="2" t="n"/>
      <c r="F5" s="2" t="n"/>
      <c r="G5" s="2" t="n"/>
      <c r="H5" s="2" t="n"/>
    </row>
    <row r="6">
      <c r="A6" s="21" t="inlineStr">
        <is>
          <t>Total Funds Raised (Active Scenario)</t>
        </is>
      </c>
      <c r="C6" s="19">
        <f>Scenarios!C12</f>
        <v/>
      </c>
      <c r="D6" s="19">
        <f>Scenarios!D12</f>
        <v/>
      </c>
      <c r="E6" s="19">
        <f>Scenarios!E12</f>
        <v/>
      </c>
      <c r="F6" s="19">
        <f>Scenarios!F12</f>
        <v/>
      </c>
      <c r="G6" s="19">
        <f>Scenarios!G12</f>
        <v/>
      </c>
    </row>
    <row r="7">
      <c r="A7" s="3" t="inlineStr">
        <is>
          <t>Upfront Fee Revenue (2% of Funds Raised)</t>
        </is>
      </c>
      <c r="B7" s="20" t="inlineStr">
        <is>
          <t>→ IS</t>
        </is>
      </c>
      <c r="C7" s="22">
        <f>Assumptions!$C$7*'Income Statement'!C6</f>
        <v/>
      </c>
      <c r="D7" s="22">
        <f>Assumptions!$C$7*'Income Statement'!D6</f>
        <v/>
      </c>
      <c r="E7" s="22">
        <f>Assumptions!$C$7*'Income Statement'!E6</f>
        <v/>
      </c>
      <c r="F7" s="22">
        <f>Assumptions!$C$7*'Income Statement'!F6</f>
        <v/>
      </c>
      <c r="G7" s="22">
        <f>Assumptions!$C$7*'Income Statement'!G6</f>
        <v/>
      </c>
    </row>
    <row r="8">
      <c r="A8" s="3" t="inlineStr">
        <is>
          <t>Completion Fee Revenue (0.5% over 3-yr build, straight-line)</t>
        </is>
      </c>
      <c r="C8" s="22">
        <f>(Assumptions!$C$8/Assumptions!$C$9)*('Income Statement'!C6)</f>
        <v/>
      </c>
      <c r="D8" s="22">
        <f>(Assumptions!$C$8/Assumptions!$C$9)*('Income Statement'!C6+D6)</f>
        <v/>
      </c>
      <c r="E8" s="22">
        <f>(Assumptions!$C$8/Assumptions!$C$9)*('Income Statement'!C6+D6+E6)</f>
        <v/>
      </c>
      <c r="F8" s="22">
        <f>(Assumptions!$C$8/Assumptions!$C$9)*('Income Statement'!D6+E6+F6)</f>
        <v/>
      </c>
      <c r="G8" s="22">
        <f>(Assumptions!$C$8/Assumptions!$C$9)*('Income Statement'!E6+F6+G6)</f>
        <v/>
      </c>
    </row>
    <row r="9">
      <c r="A9" s="3" t="inlineStr">
        <is>
          <t>kWh Revenue (2.12% of Funds, 3-yr lag, cumulative cohorts)</t>
        </is>
      </c>
      <c r="C9" s="22" t="inlineStr">
        <is>
          <t>0</t>
        </is>
      </c>
      <c r="D9" s="22" t="inlineStr">
        <is>
          <t>0</t>
        </is>
      </c>
      <c r="E9" s="22" t="inlineStr">
        <is>
          <t>0</t>
        </is>
      </c>
      <c r="F9" s="22">
        <f>Assumptions!$C$11*'Income Statement'!C6</f>
        <v/>
      </c>
      <c r="G9" s="22">
        <f>Assumptions!$C$11*('Income Statement'!C6+'Income Statement'!D6)</f>
        <v/>
      </c>
    </row>
    <row r="10">
      <c r="A10" s="23" t="inlineStr">
        <is>
          <t>TOTAL GROSS REVENUE</t>
        </is>
      </c>
      <c r="B10" s="24" t="n"/>
      <c r="C10" s="25">
        <f>SUM('Income Statement'!C7:C9)</f>
        <v/>
      </c>
      <c r="D10" s="25">
        <f>SUM('Income Statement'!D7:D9)</f>
        <v/>
      </c>
      <c r="E10" s="25">
        <f>SUM('Income Statement'!E7:E9)</f>
        <v/>
      </c>
      <c r="F10" s="25">
        <f>SUM('Income Statement'!F7:F9)</f>
        <v/>
      </c>
      <c r="G10" s="25">
        <f>SUM('Income Statement'!G7:G9)</f>
        <v/>
      </c>
    </row>
    <row r="12">
      <c r="A12" s="1" t="inlineStr">
        <is>
          <t>COST OF GOODS SOLD (COGS)</t>
        </is>
      </c>
      <c r="B12" s="2" t="n"/>
      <c r="C12" s="2" t="n"/>
      <c r="D12" s="2" t="n"/>
      <c r="E12" s="2" t="n"/>
      <c r="F12" s="2" t="n"/>
      <c r="G12" s="2" t="n"/>
      <c r="H12" s="2" t="n"/>
    </row>
    <row r="13">
      <c r="A13" s="21" t="inlineStr">
        <is>
          <t>Smart Contract Deployment &amp; Audits</t>
        </is>
      </c>
      <c r="C13" s="19">
        <f>Assumptions!C24</f>
        <v/>
      </c>
      <c r="D13" s="19">
        <f>Assumptions!D24</f>
        <v/>
      </c>
      <c r="E13" s="19">
        <f>Assumptions!E24</f>
        <v/>
      </c>
      <c r="F13" s="19">
        <f>Assumptions!F24</f>
        <v/>
      </c>
      <c r="G13" s="19">
        <f>Assumptions!G24</f>
        <v/>
      </c>
    </row>
    <row r="14">
      <c r="A14" s="3" t="inlineStr">
        <is>
          <t>Hosting &amp; API Costs (1.5% of Gross Revenue)</t>
        </is>
      </c>
      <c r="C14" s="22">
        <f>Assumptions!$C$25*'Income Statement'!C10</f>
        <v/>
      </c>
      <c r="D14" s="22">
        <f>Assumptions!$C$25*'Income Statement'!D10</f>
        <v/>
      </c>
      <c r="E14" s="22">
        <f>Assumptions!$C$25*'Income Statement'!E10</f>
        <v/>
      </c>
      <c r="F14" s="22">
        <f>Assumptions!$C$25*'Income Statement'!F10</f>
        <v/>
      </c>
      <c r="G14" s="22">
        <f>Assumptions!$C$25*'Income Statement'!G10</f>
        <v/>
      </c>
    </row>
    <row r="15">
      <c r="A15" s="23" t="inlineStr">
        <is>
          <t>TOTAL COGS</t>
        </is>
      </c>
      <c r="B15" s="24" t="n"/>
      <c r="C15" s="25">
        <f>SUM('Income Statement'!C13:C14)</f>
        <v/>
      </c>
      <c r="D15" s="25">
        <f>SUM('Income Statement'!D13:D14)</f>
        <v/>
      </c>
      <c r="E15" s="25">
        <f>SUM('Income Statement'!E13:E14)</f>
        <v/>
      </c>
      <c r="F15" s="25">
        <f>SUM('Income Statement'!F13:F14)</f>
        <v/>
      </c>
      <c r="G15" s="25">
        <f>SUM('Income Statement'!G13:G14)</f>
        <v/>
      </c>
    </row>
    <row r="17">
      <c r="A17" s="23" t="inlineStr">
        <is>
          <t>GROSS PROFIT</t>
        </is>
      </c>
      <c r="B17" s="24" t="n"/>
      <c r="C17" s="25">
        <f>'Income Statement'!C10-'Income Statement'!C15</f>
        <v/>
      </c>
      <c r="D17" s="25">
        <f>'Income Statement'!D10-'Income Statement'!D15</f>
        <v/>
      </c>
      <c r="E17" s="25">
        <f>'Income Statement'!E10-'Income Statement'!E15</f>
        <v/>
      </c>
      <c r="F17" s="25">
        <f>'Income Statement'!F10-'Income Statement'!F15</f>
        <v/>
      </c>
      <c r="G17" s="25">
        <f>'Income Statement'!G10-'Income Statement'!G15</f>
        <v/>
      </c>
    </row>
    <row r="19">
      <c r="A19" s="1" t="inlineStr">
        <is>
          <t>OPERATING EXPENSES</t>
        </is>
      </c>
      <c r="B19" s="2" t="n"/>
      <c r="C19" s="2" t="n"/>
      <c r="D19" s="2" t="n"/>
      <c r="E19" s="2" t="n"/>
      <c r="F19" s="2" t="n"/>
      <c r="G19" s="2" t="n"/>
      <c r="H19" s="2" t="n"/>
    </row>
    <row r="20">
      <c r="A20" s="3" t="inlineStr">
        <is>
          <t>Salaries</t>
        </is>
      </c>
      <c r="C20" s="19">
        <f>Assumptions!$C$28</f>
        <v/>
      </c>
      <c r="D20" s="22">
        <f>Assumptions!D36*'Income Statement'!D10</f>
        <v/>
      </c>
      <c r="E20" s="22">
        <f>Assumptions!E36*'Income Statement'!E10</f>
        <v/>
      </c>
      <c r="F20" s="22">
        <f>Assumptions!F36*'Income Statement'!F10</f>
        <v/>
      </c>
      <c r="G20" s="22">
        <f>Assumptions!G36*'Income Statement'!G10</f>
        <v/>
      </c>
    </row>
    <row r="21">
      <c r="A21" s="3" t="inlineStr">
        <is>
          <t>Marketing &amp; Growth</t>
        </is>
      </c>
      <c r="C21" s="19">
        <f>Assumptions!$C$29</f>
        <v/>
      </c>
      <c r="D21" s="22">
        <f>Assumptions!D37*'Income Statement'!D10</f>
        <v/>
      </c>
      <c r="E21" s="22">
        <f>Assumptions!E37*'Income Statement'!E10</f>
        <v/>
      </c>
      <c r="F21" s="22">
        <f>Assumptions!F37*'Income Statement'!F10</f>
        <v/>
      </c>
      <c r="G21" s="22">
        <f>Assumptions!G37*'Income Statement'!G10</f>
        <v/>
      </c>
    </row>
    <row r="22">
      <c r="A22" s="3" t="inlineStr">
        <is>
          <t>Legal &amp; Regulatory</t>
        </is>
      </c>
      <c r="C22" s="19">
        <f>Assumptions!$C$30</f>
        <v/>
      </c>
      <c r="D22" s="22">
        <f>Assumptions!D38*'Income Statement'!D10</f>
        <v/>
      </c>
      <c r="E22" s="22">
        <f>Assumptions!E38*'Income Statement'!E10</f>
        <v/>
      </c>
      <c r="F22" s="22">
        <f>Assumptions!F38*'Income Statement'!F10</f>
        <v/>
      </c>
      <c r="G22" s="22">
        <f>Assumptions!G38*'Income Statement'!G10</f>
        <v/>
      </c>
    </row>
    <row r="23">
      <c r="A23" s="3" t="inlineStr">
        <is>
          <t>Insurance</t>
        </is>
      </c>
      <c r="C23" s="19">
        <f>Assumptions!$C$31</f>
        <v/>
      </c>
      <c r="D23" s="22">
        <f>Assumptions!D39*'Income Statement'!D10</f>
        <v/>
      </c>
      <c r="E23" s="22">
        <f>Assumptions!E39*'Income Statement'!E10</f>
        <v/>
      </c>
      <c r="F23" s="22">
        <f>Assumptions!F39*'Income Statement'!F10</f>
        <v/>
      </c>
      <c r="G23" s="22">
        <f>Assumptions!G39*'Income Statement'!G10</f>
        <v/>
      </c>
    </row>
    <row r="24">
      <c r="A24" s="3" t="inlineStr">
        <is>
          <t>R&amp;D</t>
        </is>
      </c>
      <c r="C24" s="19">
        <f>Assumptions!$C$32</f>
        <v/>
      </c>
      <c r="D24" s="22">
        <f>Assumptions!D40*'Income Statement'!D10</f>
        <v/>
      </c>
      <c r="E24" s="22">
        <f>Assumptions!E40*'Income Statement'!E10</f>
        <v/>
      </c>
      <c r="F24" s="22">
        <f>Assumptions!F40*'Income Statement'!F10</f>
        <v/>
      </c>
      <c r="G24" s="22">
        <f>Assumptions!G40*'Income Statement'!G10</f>
        <v/>
      </c>
    </row>
    <row r="25">
      <c r="A25" s="23" t="inlineStr">
        <is>
          <t>TOTAL OPERATING EXPENSES</t>
        </is>
      </c>
      <c r="B25" s="24" t="n"/>
      <c r="C25" s="25">
        <f>SUM('Income Statement'!C20:C24)</f>
        <v/>
      </c>
      <c r="D25" s="25">
        <f>SUM('Income Statement'!D20:D24)</f>
        <v/>
      </c>
      <c r="E25" s="25">
        <f>SUM('Income Statement'!E20:E24)</f>
        <v/>
      </c>
      <c r="F25" s="25">
        <f>SUM('Income Statement'!F20:F24)</f>
        <v/>
      </c>
      <c r="G25" s="25">
        <f>SUM('Income Statement'!G20:G24)</f>
        <v/>
      </c>
    </row>
    <row r="27">
      <c r="A27" s="23" t="inlineStr">
        <is>
          <t>EBIT  (Operating Profit / Loss)</t>
        </is>
      </c>
      <c r="B27" s="24" t="n"/>
      <c r="C27" s="25">
        <f>'Income Statement'!C17-'Income Statement'!C25</f>
        <v/>
      </c>
      <c r="D27" s="25">
        <f>'Income Statement'!D17-'Income Statement'!D25</f>
        <v/>
      </c>
      <c r="E27" s="25">
        <f>'Income Statement'!E17-'Income Statement'!E25</f>
        <v/>
      </c>
      <c r="F27" s="25">
        <f>'Income Statement'!F17-'Income Statement'!F25</f>
        <v/>
      </c>
      <c r="G27" s="25">
        <f>'Income Statement'!G17-'Income Statement'!G25</f>
        <v/>
      </c>
    </row>
    <row r="29">
      <c r="A29" s="1" t="inlineStr">
        <is>
          <t>UK CORPORATION TAX COMPUTATION</t>
        </is>
      </c>
      <c r="B29" s="2" t="n"/>
      <c r="C29" s="2" t="n"/>
      <c r="D29" s="2" t="n"/>
      <c r="E29" s="2" t="n"/>
      <c r="F29" s="2" t="n"/>
      <c r="G29" s="2" t="n"/>
      <c r="H29" s="2" t="n"/>
    </row>
    <row r="30">
      <c r="A30" s="3" t="inlineStr">
        <is>
          <t>Prior-Year Tax Loss Balance (b/f)</t>
        </is>
      </c>
      <c r="C30" s="22">
        <f>0</f>
        <v/>
      </c>
      <c r="D30" s="22">
        <f>'Income Statement'!C34</f>
        <v/>
      </c>
      <c r="E30" s="22">
        <f>'Income Statement'!D34</f>
        <v/>
      </c>
      <c r="F30" s="22">
        <f>'Income Statement'!E34</f>
        <v/>
      </c>
      <c r="G30" s="22">
        <f>'Income Statement'!F34</f>
        <v/>
      </c>
    </row>
    <row r="31">
      <c r="A31" s="3" t="inlineStr">
        <is>
          <t>Loss Carry-Forward Applied (limited to £5M p.a. &amp; actual profit)</t>
        </is>
      </c>
      <c r="C31" s="22">
        <f>IF('Income Statement'!C27&gt;0,MIN('Income Statement'!C30,Assumptions!$C$48,'Income Statement'!C27),0)</f>
        <v/>
      </c>
      <c r="D31" s="22">
        <f>IF('Income Statement'!D27&gt;0,MIN('Income Statement'!D30,Assumptions!$C$48,'Income Statement'!D27),0)</f>
        <v/>
      </c>
      <c r="E31" s="22">
        <f>IF('Income Statement'!E27&gt;0,MIN('Income Statement'!E30,Assumptions!$C$48,'Income Statement'!E27),0)</f>
        <v/>
      </c>
      <c r="F31" s="22">
        <f>IF('Income Statement'!F27&gt;0,MIN('Income Statement'!F30,Assumptions!$C$48,'Income Statement'!F27),0)</f>
        <v/>
      </c>
      <c r="G31" s="22">
        <f>IF('Income Statement'!G27&gt;0,MIN('Income Statement'!G30,Assumptions!$C$48,'Income Statement'!G27),0)</f>
        <v/>
      </c>
    </row>
    <row r="32">
      <c r="A32" s="3" t="inlineStr">
        <is>
          <t>Taxable Profit After Loss Relief</t>
        </is>
      </c>
      <c r="C32" s="22">
        <f>MAX('Income Statement'!C27-'Income Statement'!C31,0)</f>
        <v/>
      </c>
      <c r="D32" s="22">
        <f>MAX('Income Statement'!D27-'Income Statement'!D31,0)</f>
        <v/>
      </c>
      <c r="E32" s="22">
        <f>MAX('Income Statement'!E27-'Income Statement'!E31,0)</f>
        <v/>
      </c>
      <c r="F32" s="22">
        <f>MAX('Income Statement'!F27-'Income Statement'!F31,0)</f>
        <v/>
      </c>
      <c r="G32" s="22">
        <f>MAX('Income Statement'!G27-'Income Statement'!G31,0)</f>
        <v/>
      </c>
    </row>
    <row r="33">
      <c r="A33" s="3" t="inlineStr">
        <is>
          <t>Tax Provision (19% / marginal relief / 25%)</t>
        </is>
      </c>
      <c r="C33" s="22">
        <f>IF('Income Statement'!C32&lt;=0,0,IF('Income Statement'!C32&lt;=Assumptions!$C$45,Assumptions!$C$43*'Income Statement'!C32,IF('Income Statement'!C32&lt;=Assumptions!$C$46,Assumptions!$C$44*'Income Statement'!C32-(Assumptions!$C$46-'Income Statement'!C32)*3/200,Assumptions!$C$44*'Income Statement'!C32)))</f>
        <v/>
      </c>
      <c r="D33" s="22">
        <f>IF('Income Statement'!D32&lt;=0,0,IF('Income Statement'!D32&lt;=Assumptions!$C$45,Assumptions!$C$43*'Income Statement'!D32,IF('Income Statement'!D32&lt;=Assumptions!$C$46,Assumptions!$C$44*'Income Statement'!D32-(Assumptions!$C$46-'Income Statement'!D32)*3/200,Assumptions!$C$44*'Income Statement'!D32)))</f>
        <v/>
      </c>
      <c r="E33" s="22">
        <f>IF('Income Statement'!E32&lt;=0,0,IF('Income Statement'!E32&lt;=Assumptions!$C$45,Assumptions!$C$43*'Income Statement'!E32,IF('Income Statement'!E32&lt;=Assumptions!$C$46,Assumptions!$C$44*'Income Statement'!E32-(Assumptions!$C$46-'Income Statement'!E32)*3/200,Assumptions!$C$44*'Income Statement'!E32)))</f>
        <v/>
      </c>
      <c r="F33" s="22">
        <f>IF('Income Statement'!F32&lt;=0,0,IF('Income Statement'!F32&lt;=Assumptions!$C$45,Assumptions!$C$43*'Income Statement'!F32,IF('Income Statement'!F32&lt;=Assumptions!$C$46,Assumptions!$C$44*'Income Statement'!F32-(Assumptions!$C$46-'Income Statement'!F32)*3/200,Assumptions!$C$44*'Income Statement'!F32)))</f>
        <v/>
      </c>
      <c r="G33" s="22">
        <f>IF('Income Statement'!G32&lt;=0,0,IF('Income Statement'!G32&lt;=Assumptions!$C$45,Assumptions!$C$43*'Income Statement'!G32,IF('Income Statement'!G32&lt;=Assumptions!$C$46,Assumptions!$C$44*'Income Statement'!G32-(Assumptions!$C$46-'Income Statement'!G32)*3/200,Assumptions!$C$44*'Income Statement'!G32)))</f>
        <v/>
      </c>
    </row>
    <row r="34">
      <c r="A34" s="3" t="inlineStr">
        <is>
          <t>Closing Tax Loss Balance (carried forward to next year)</t>
        </is>
      </c>
      <c r="C34" s="22">
        <f>MAX(0,'Income Statement'!C30-'Income Statement'!C31)+MAX(0,-'Income Statement'!C27)</f>
        <v/>
      </c>
      <c r="D34" s="22">
        <f>MAX(0,'Income Statement'!D30-'Income Statement'!D31)+MAX(0,-'Income Statement'!D27)</f>
        <v/>
      </c>
      <c r="E34" s="22">
        <f>MAX(0,'Income Statement'!E30-'Income Statement'!E31)+MAX(0,-'Income Statement'!E27)</f>
        <v/>
      </c>
      <c r="F34" s="22">
        <f>MAX(0,'Income Statement'!F30-'Income Statement'!F31)+MAX(0,-'Income Statement'!F27)</f>
        <v/>
      </c>
      <c r="G34" s="22">
        <f>MAX(0,'Income Statement'!G30-'Income Statement'!G31)+MAX(0,-'Income Statement'!G27)</f>
        <v/>
      </c>
    </row>
    <row r="36">
      <c r="A36" s="23" t="inlineStr">
        <is>
          <t>NET INCOME  (After Tax)</t>
        </is>
      </c>
      <c r="B36" s="24" t="n"/>
      <c r="C36" s="26">
        <f>'Income Statement'!C27-'Income Statement'!C33</f>
        <v/>
      </c>
      <c r="D36" s="26">
        <f>'Income Statement'!D27-'Income Statement'!D33</f>
        <v/>
      </c>
      <c r="E36" s="26">
        <f>'Income Statement'!E27-'Income Statement'!E33</f>
        <v/>
      </c>
      <c r="F36" s="26">
        <f>'Income Statement'!F27-'Income Statement'!F33</f>
        <v/>
      </c>
      <c r="G36" s="26">
        <f>'Income Statement'!G27-'Income Statement'!G33</f>
        <v/>
      </c>
    </row>
  </sheetData>
  <pageMargins left="0.75" right="0.75" top="1" bottom="1" header="0.5" footer="0.5"/>
  <pageSetup orientation="landscape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843C0C"/>
    <outlinePr summaryBelow="1" summaryRight="1"/>
    <pageSetUpPr fitToPage="1"/>
  </sheetPr>
  <dimension ref="A1:H22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 ht="24" customHeight="1">
      <c r="A1" s="16" t="inlineStr">
        <is>
          <t>BALANCE SHEET</t>
        </is>
      </c>
      <c r="B1" s="2" t="n"/>
      <c r="C1" s="2" t="n"/>
      <c r="D1" s="2" t="n"/>
      <c r="E1" s="2" t="n"/>
      <c r="F1" s="2" t="n"/>
      <c r="G1" s="2" t="n"/>
    </row>
    <row r="2">
      <c r="A2" s="27" t="inlineStr">
        <is>
          <t>All figures in GBP (£)</t>
        </is>
      </c>
    </row>
    <row r="3">
      <c r="A3" s="28" t="inlineStr">
        <is>
          <t>Year →</t>
        </is>
      </c>
      <c r="C3" s="9" t="n">
        <v>2026</v>
      </c>
      <c r="D3" s="9" t="n">
        <v>2027</v>
      </c>
      <c r="E3" s="9" t="n">
        <v>2028</v>
      </c>
      <c r="F3" s="9" t="n">
        <v>2029</v>
      </c>
      <c r="G3" s="9" t="n">
        <v>2030</v>
      </c>
    </row>
    <row r="5">
      <c r="A5" s="1" t="inlineStr">
        <is>
          <t>ASSETS</t>
        </is>
      </c>
      <c r="B5" s="2" t="n"/>
      <c r="C5" s="2" t="n"/>
      <c r="D5" s="2" t="n"/>
      <c r="E5" s="2" t="n"/>
      <c r="F5" s="2" t="n"/>
      <c r="G5" s="2" t="n"/>
      <c r="H5" s="2" t="n"/>
    </row>
    <row r="6">
      <c r="A6" s="21" t="inlineStr">
        <is>
          <t>Cash &amp; Cash Equivalents</t>
        </is>
      </c>
      <c r="C6" s="19">
        <f>'Cash Flow'!C23</f>
        <v/>
      </c>
      <c r="D6" s="19">
        <f>'Cash Flow'!D23</f>
        <v/>
      </c>
      <c r="E6" s="19">
        <f>'Cash Flow'!E23</f>
        <v/>
      </c>
      <c r="F6" s="19">
        <f>'Cash Flow'!F23</f>
        <v/>
      </c>
      <c r="G6" s="19">
        <f>'Cash Flow'!G23</f>
        <v/>
      </c>
    </row>
    <row r="7">
      <c r="A7" s="3" t="inlineStr">
        <is>
          <t>Accounts Receivable  (Revenue × DSO / 365)</t>
        </is>
      </c>
      <c r="C7" s="22">
        <f>'Income Statement'!C10*Assumptions!$C$55/365</f>
        <v/>
      </c>
      <c r="D7" s="22">
        <f>'Income Statement'!D10*Assumptions!$C$55/365</f>
        <v/>
      </c>
      <c r="E7" s="22">
        <f>'Income Statement'!E10*Assumptions!$C$55/365</f>
        <v/>
      </c>
      <c r="F7" s="22">
        <f>'Income Statement'!F10*Assumptions!$C$55/365</f>
        <v/>
      </c>
      <c r="G7" s="22">
        <f>'Income Statement'!G10*Assumptions!$C$55/365</f>
        <v/>
      </c>
    </row>
    <row r="8">
      <c r="A8" s="23" t="inlineStr">
        <is>
          <t>TOTAL CURRENT ASSETS</t>
        </is>
      </c>
      <c r="B8" s="24" t="n"/>
      <c r="C8" s="25">
        <f>SUM('Balance Sheet'!C6:C7)</f>
        <v/>
      </c>
      <c r="D8" s="25">
        <f>SUM('Balance Sheet'!D6:D7)</f>
        <v/>
      </c>
      <c r="E8" s="25">
        <f>SUM('Balance Sheet'!E6:E7)</f>
        <v/>
      </c>
      <c r="F8" s="25">
        <f>SUM('Balance Sheet'!F6:F7)</f>
        <v/>
      </c>
      <c r="G8" s="25">
        <f>SUM('Balance Sheet'!G6:G7)</f>
        <v/>
      </c>
    </row>
    <row r="9">
      <c r="A9" s="23" t="inlineStr">
        <is>
          <t>TOTAL ASSETS</t>
        </is>
      </c>
      <c r="B9" s="24" t="n"/>
      <c r="C9" s="29">
        <f>'Balance Sheet'!C8</f>
        <v/>
      </c>
      <c r="D9" s="29">
        <f>'Balance Sheet'!D8</f>
        <v/>
      </c>
      <c r="E9" s="29">
        <f>'Balance Sheet'!E8</f>
        <v/>
      </c>
      <c r="F9" s="29">
        <f>'Balance Sheet'!F8</f>
        <v/>
      </c>
      <c r="G9" s="29">
        <f>'Balance Sheet'!G8</f>
        <v/>
      </c>
    </row>
    <row r="11">
      <c r="A11" s="1" t="inlineStr">
        <is>
          <t>LIABILITIES</t>
        </is>
      </c>
      <c r="B11" s="2" t="n"/>
      <c r="C11" s="2" t="n"/>
      <c r="D11" s="2" t="n"/>
      <c r="E11" s="2" t="n"/>
      <c r="F11" s="2" t="n"/>
      <c r="G11" s="2" t="n"/>
      <c r="H11" s="2" t="n"/>
    </row>
    <row r="12">
      <c r="A12" s="3" t="inlineStr">
        <is>
          <t>Accounts Payable  ((COGS + OpEx) × DPO / 365)</t>
        </is>
      </c>
      <c r="C12" s="22">
        <f>('Income Statement'!C15+'Income Statement'!C25)*Assumptions!$C$56/365</f>
        <v/>
      </c>
      <c r="D12" s="22">
        <f>('Income Statement'!D15+'Income Statement'!D25)*Assumptions!$C$56/365</f>
        <v/>
      </c>
      <c r="E12" s="22">
        <f>('Income Statement'!E15+'Income Statement'!E25)*Assumptions!$C$56/365</f>
        <v/>
      </c>
      <c r="F12" s="22">
        <f>('Income Statement'!F15+'Income Statement'!F25)*Assumptions!$C$56/365</f>
        <v/>
      </c>
      <c r="G12" s="22">
        <f>('Income Statement'!G15+'Income Statement'!G25)*Assumptions!$C$56/365</f>
        <v/>
      </c>
    </row>
    <row r="13">
      <c r="A13" s="3" t="inlineStr">
        <is>
          <t>Corporation Tax Payable  (current year provision, paid next year)</t>
        </is>
      </c>
      <c r="C13" s="22">
        <f>'Income Statement'!C33</f>
        <v/>
      </c>
      <c r="D13" s="22">
        <f>'Income Statement'!D33</f>
        <v/>
      </c>
      <c r="E13" s="22">
        <f>'Income Statement'!E33</f>
        <v/>
      </c>
      <c r="F13" s="22">
        <f>'Income Statement'!F33</f>
        <v/>
      </c>
      <c r="G13" s="22">
        <f>'Income Statement'!G33</f>
        <v/>
      </c>
    </row>
    <row r="14">
      <c r="A14" s="23" t="inlineStr">
        <is>
          <t>TOTAL CURRENT LIABILITIES</t>
        </is>
      </c>
      <c r="B14" s="24" t="n"/>
      <c r="C14" s="25">
        <f>SUM('Balance Sheet'!C12:C13)</f>
        <v/>
      </c>
      <c r="D14" s="25">
        <f>SUM('Balance Sheet'!D12:D13)</f>
        <v/>
      </c>
      <c r="E14" s="25">
        <f>SUM('Balance Sheet'!E12:E13)</f>
        <v/>
      </c>
      <c r="F14" s="25">
        <f>SUM('Balance Sheet'!F12:F13)</f>
        <v/>
      </c>
      <c r="G14" s="25">
        <f>SUM('Balance Sheet'!G12:G13)</f>
        <v/>
      </c>
    </row>
    <row r="15">
      <c r="A15" s="23" t="inlineStr">
        <is>
          <t>TOTAL LIABILITIES</t>
        </is>
      </c>
      <c r="B15" s="24" t="n"/>
      <c r="C15" s="29">
        <f>'Balance Sheet'!C14</f>
        <v/>
      </c>
      <c r="D15" s="29">
        <f>'Balance Sheet'!D14</f>
        <v/>
      </c>
      <c r="E15" s="29">
        <f>'Balance Sheet'!E14</f>
        <v/>
      </c>
      <c r="F15" s="29">
        <f>'Balance Sheet'!F14</f>
        <v/>
      </c>
      <c r="G15" s="29">
        <f>'Balance Sheet'!G14</f>
        <v/>
      </c>
    </row>
    <row r="17">
      <c r="A17" s="1" t="inlineStr">
        <is>
          <t>EQUITY</t>
        </is>
      </c>
      <c r="B17" s="2" t="n"/>
      <c r="C17" s="2" t="n"/>
      <c r="D17" s="2" t="n"/>
      <c r="E17" s="2" t="n"/>
      <c r="F17" s="2" t="n"/>
      <c r="G17" s="2" t="n"/>
      <c r="H17" s="2" t="n"/>
    </row>
    <row r="18">
      <c r="A18" s="21" t="inlineStr">
        <is>
          <t>Share Capital  (cumulative equity raises to date)</t>
        </is>
      </c>
      <c r="C18" s="19">
        <f>Assumptions!C52</f>
        <v/>
      </c>
      <c r="D18" s="19">
        <f>'Balance Sheet'!C18+Assumptions!D52</f>
        <v/>
      </c>
      <c r="E18" s="19">
        <f>'Balance Sheet'!D18+Assumptions!E52</f>
        <v/>
      </c>
      <c r="F18" s="19">
        <f>'Balance Sheet'!E18+Assumptions!F52</f>
        <v/>
      </c>
      <c r="G18" s="19">
        <f>'Balance Sheet'!F18+Assumptions!G52</f>
        <v/>
      </c>
    </row>
    <row r="19">
      <c r="A19" s="3" t="inlineStr">
        <is>
          <t>Retained Earnings  (cumulative net income)</t>
        </is>
      </c>
      <c r="C19" s="22">
        <f>'Income Statement'!C36</f>
        <v/>
      </c>
      <c r="D19" s="22">
        <f>'Balance Sheet'!C19+'Income Statement'!D36</f>
        <v/>
      </c>
      <c r="E19" s="22">
        <f>'Balance Sheet'!D19+'Income Statement'!E36</f>
        <v/>
      </c>
      <c r="F19" s="22">
        <f>'Balance Sheet'!E19+'Income Statement'!F36</f>
        <v/>
      </c>
      <c r="G19" s="22">
        <f>'Balance Sheet'!F19+'Income Statement'!G36</f>
        <v/>
      </c>
    </row>
    <row r="20">
      <c r="A20" s="23" t="inlineStr">
        <is>
          <t>TOTAL EQUITY</t>
        </is>
      </c>
      <c r="B20" s="24" t="n"/>
      <c r="C20" s="29">
        <f>SUM('Balance Sheet'!C18:C19)</f>
        <v/>
      </c>
      <c r="D20" s="29">
        <f>SUM('Balance Sheet'!D18:D19)</f>
        <v/>
      </c>
      <c r="E20" s="29">
        <f>SUM('Balance Sheet'!E18:E19)</f>
        <v/>
      </c>
      <c r="F20" s="29">
        <f>SUM('Balance Sheet'!F18:F19)</f>
        <v/>
      </c>
      <c r="G20" s="29">
        <f>SUM('Balance Sheet'!G18:G19)</f>
        <v/>
      </c>
    </row>
    <row r="22">
      <c r="A22" s="1" t="inlineStr">
        <is>
          <t>BALANCE CHECK  (Total Assets − Total Liabilities − Total Equity = 0)</t>
        </is>
      </c>
      <c r="B22" s="2" t="n"/>
      <c r="C22" s="30">
        <f>'Balance Sheet'!C9-'Balance Sheet'!C15-'Balance Sheet'!C20</f>
        <v/>
      </c>
      <c r="D22" s="30">
        <f>'Balance Sheet'!D9-'Balance Sheet'!D15-'Balance Sheet'!D20</f>
        <v/>
      </c>
      <c r="E22" s="30">
        <f>'Balance Sheet'!E9-'Balance Sheet'!E15-'Balance Sheet'!E20</f>
        <v/>
      </c>
      <c r="F22" s="30">
        <f>'Balance Sheet'!F9-'Balance Sheet'!F15-'Balance Sheet'!F20</f>
        <v/>
      </c>
      <c r="G22" s="30">
        <f>'Balance Sheet'!G9-'Balance Sheet'!G15-'Balance Sheet'!G20</f>
        <v/>
      </c>
      <c r="H22" s="2" t="n"/>
    </row>
  </sheetData>
  <pageMargins left="0.75" right="0.75" top="1" bottom="1" header="0.5" footer="0.5"/>
  <pageSetup orientation="landscape" fitToWidth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H2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0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 ht="24" customHeight="1">
      <c r="A1" s="16" t="inlineStr">
        <is>
          <t>CASH FLOW STATEMENT  (Indirect Method)</t>
        </is>
      </c>
      <c r="B1" s="2" t="n"/>
      <c r="C1" s="2" t="n"/>
      <c r="D1" s="2" t="n"/>
      <c r="E1" s="2" t="n"/>
      <c r="F1" s="2" t="n"/>
      <c r="G1" s="2" t="n"/>
    </row>
    <row r="2">
      <c r="A2" s="27" t="inlineStr">
        <is>
          <t>All figures in GBP (£)</t>
        </is>
      </c>
    </row>
    <row r="3">
      <c r="A3" s="28" t="inlineStr">
        <is>
          <t>Year →</t>
        </is>
      </c>
      <c r="C3" s="9" t="n">
        <v>2026</v>
      </c>
      <c r="D3" s="9" t="n">
        <v>2027</v>
      </c>
      <c r="E3" s="9" t="n">
        <v>2028</v>
      </c>
      <c r="F3" s="9" t="n">
        <v>2029</v>
      </c>
      <c r="G3" s="9" t="n">
        <v>2030</v>
      </c>
    </row>
    <row r="5">
      <c r="A5" s="1" t="inlineStr">
        <is>
          <t>OPERATING ACTIVITIES</t>
        </is>
      </c>
      <c r="B5" s="2" t="n"/>
      <c r="C5" s="2" t="n"/>
      <c r="D5" s="2" t="n"/>
      <c r="E5" s="2" t="n"/>
      <c r="F5" s="2" t="n"/>
      <c r="G5" s="2" t="n"/>
      <c r="H5" s="2" t="n"/>
    </row>
    <row r="6">
      <c r="A6" s="21" t="inlineStr">
        <is>
          <t>Net Income (after tax)</t>
        </is>
      </c>
      <c r="C6" s="19">
        <f>'Income Statement'!C36</f>
        <v/>
      </c>
      <c r="D6" s="19">
        <f>'Income Statement'!D36</f>
        <v/>
      </c>
      <c r="E6" s="19">
        <f>'Income Statement'!E36</f>
        <v/>
      </c>
      <c r="F6" s="19">
        <f>'Income Statement'!F36</f>
        <v/>
      </c>
      <c r="G6" s="19">
        <f>'Income Statement'!G36</f>
        <v/>
      </c>
    </row>
    <row r="7">
      <c r="A7" s="3" t="inlineStr">
        <is>
          <t>Change in Accounts Receivable  (increase = cash outflow)</t>
        </is>
      </c>
      <c r="C7" s="22">
        <f>-('Balance Sheet'!C7-0)</f>
        <v/>
      </c>
      <c r="D7" s="22">
        <f>-('Balance Sheet'!D7-'Balance Sheet'!C7)</f>
        <v/>
      </c>
      <c r="E7" s="22">
        <f>-('Balance Sheet'!E7-'Balance Sheet'!D7)</f>
        <v/>
      </c>
      <c r="F7" s="22">
        <f>-('Balance Sheet'!F7-'Balance Sheet'!E7)</f>
        <v/>
      </c>
      <c r="G7" s="22">
        <f>-('Balance Sheet'!G7-'Balance Sheet'!F7)</f>
        <v/>
      </c>
    </row>
    <row r="8">
      <c r="A8" s="3" t="inlineStr">
        <is>
          <t>Change in Accounts Payable  (increase = cash inflow)</t>
        </is>
      </c>
      <c r="C8" s="22">
        <f>'Balance Sheet'!C12-0</f>
        <v/>
      </c>
      <c r="D8" s="22">
        <f>'Balance Sheet'!D12-'Balance Sheet'!C12</f>
        <v/>
      </c>
      <c r="E8" s="22">
        <f>'Balance Sheet'!E12-'Balance Sheet'!D12</f>
        <v/>
      </c>
      <c r="F8" s="22">
        <f>'Balance Sheet'!F12-'Balance Sheet'!E12</f>
        <v/>
      </c>
      <c r="G8" s="22">
        <f>'Balance Sheet'!G12-'Balance Sheet'!F12</f>
        <v/>
      </c>
    </row>
    <row r="9">
      <c r="A9" s="3" t="inlineStr">
        <is>
          <t>Change in Corporation Tax Payable  (current provision − prior paid)</t>
        </is>
      </c>
      <c r="C9" s="22">
        <f>'Balance Sheet'!C13-0</f>
        <v/>
      </c>
      <c r="D9" s="22">
        <f>'Balance Sheet'!D13-'Balance Sheet'!C13</f>
        <v/>
      </c>
      <c r="E9" s="22">
        <f>'Balance Sheet'!E13-'Balance Sheet'!D13</f>
        <v/>
      </c>
      <c r="F9" s="22">
        <f>'Balance Sheet'!F13-'Balance Sheet'!E13</f>
        <v/>
      </c>
      <c r="G9" s="22">
        <f>'Balance Sheet'!G13-'Balance Sheet'!F13</f>
        <v/>
      </c>
    </row>
    <row r="10">
      <c r="A10" s="23" t="inlineStr">
        <is>
          <t>NET CASH FROM OPERATIONS</t>
        </is>
      </c>
      <c r="B10" s="24" t="n"/>
      <c r="C10" s="25">
        <f>SUM('Cash Flow'!C6:C9)</f>
        <v/>
      </c>
      <c r="D10" s="25">
        <f>SUM('Cash Flow'!D6:D9)</f>
        <v/>
      </c>
      <c r="E10" s="25">
        <f>SUM('Cash Flow'!E6:E9)</f>
        <v/>
      </c>
      <c r="F10" s="25">
        <f>SUM('Cash Flow'!F6:F9)</f>
        <v/>
      </c>
      <c r="G10" s="25">
        <f>SUM('Cash Flow'!G6:G9)</f>
        <v/>
      </c>
    </row>
    <row r="12">
      <c r="A12" s="1" t="inlineStr">
        <is>
          <t>INVESTING ACTIVITIES</t>
        </is>
      </c>
      <c r="B12" s="2" t="n"/>
      <c r="C12" s="2" t="n"/>
      <c r="D12" s="2" t="n"/>
      <c r="E12" s="2" t="n"/>
      <c r="F12" s="2" t="n"/>
      <c r="G12" s="2" t="n"/>
      <c r="H12" s="2" t="n"/>
    </row>
    <row r="13">
      <c r="A13" s="21" t="inlineStr">
        <is>
          <t>Capital Expenditure / CapEx  (asset-light — £0)</t>
        </is>
      </c>
      <c r="C13" s="19">
        <f>-Assumptions!$C$62</f>
        <v/>
      </c>
      <c r="D13" s="19">
        <f>-Assumptions!$C$62</f>
        <v/>
      </c>
      <c r="E13" s="19">
        <f>-Assumptions!$C$62</f>
        <v/>
      </c>
      <c r="F13" s="19">
        <f>-Assumptions!$C$62</f>
        <v/>
      </c>
      <c r="G13" s="19">
        <f>-Assumptions!$C$62</f>
        <v/>
      </c>
    </row>
    <row r="14">
      <c r="A14" s="23" t="inlineStr">
        <is>
          <t>NET CASH FROM INVESTING</t>
        </is>
      </c>
      <c r="B14" s="24" t="n"/>
      <c r="C14" s="25">
        <f>'Cash Flow'!C13</f>
        <v/>
      </c>
      <c r="D14" s="25">
        <f>'Cash Flow'!D13</f>
        <v/>
      </c>
      <c r="E14" s="25">
        <f>'Cash Flow'!E13</f>
        <v/>
      </c>
      <c r="F14" s="25">
        <f>'Cash Flow'!F13</f>
        <v/>
      </c>
      <c r="G14" s="25">
        <f>'Cash Flow'!G13</f>
        <v/>
      </c>
    </row>
    <row r="16">
      <c r="A16" s="1" t="inlineStr">
        <is>
          <t>FINANCING ACTIVITIES</t>
        </is>
      </c>
      <c r="B16" s="2" t="n"/>
      <c r="C16" s="2" t="n"/>
      <c r="D16" s="2" t="n"/>
      <c r="E16" s="2" t="n"/>
      <c r="F16" s="2" t="n"/>
      <c r="G16" s="2" t="n"/>
      <c r="H16" s="2" t="n"/>
    </row>
    <row r="17">
      <c r="A17" s="21" t="inlineStr">
        <is>
          <t>Equity Raised  (per Assumptions)</t>
        </is>
      </c>
      <c r="C17" s="19">
        <f>Assumptions!C52</f>
        <v/>
      </c>
      <c r="D17" s="19">
        <f>Assumptions!D52</f>
        <v/>
      </c>
      <c r="E17" s="19">
        <f>Assumptions!E52</f>
        <v/>
      </c>
      <c r="F17" s="19">
        <f>Assumptions!F52</f>
        <v/>
      </c>
      <c r="G17" s="19">
        <f>Assumptions!G52</f>
        <v/>
      </c>
    </row>
    <row r="18">
      <c r="A18" s="23" t="inlineStr">
        <is>
          <t>NET CASH FROM FINANCING</t>
        </is>
      </c>
      <c r="B18" s="24" t="n"/>
      <c r="C18" s="25">
        <f>'Cash Flow'!C17</f>
        <v/>
      </c>
      <c r="D18" s="25">
        <f>'Cash Flow'!D17</f>
        <v/>
      </c>
      <c r="E18" s="25">
        <f>'Cash Flow'!E17</f>
        <v/>
      </c>
      <c r="F18" s="25">
        <f>'Cash Flow'!F17</f>
        <v/>
      </c>
      <c r="G18" s="25">
        <f>'Cash Flow'!G17</f>
        <v/>
      </c>
    </row>
    <row r="20">
      <c r="A20" s="1" t="inlineStr">
        <is>
          <t>CASH SUMMARY</t>
        </is>
      </c>
      <c r="B20" s="2" t="n"/>
      <c r="C20" s="2" t="n"/>
      <c r="D20" s="2" t="n"/>
      <c r="E20" s="2" t="n"/>
      <c r="F20" s="2" t="n"/>
      <c r="G20" s="2" t="n"/>
      <c r="H20" s="2" t="n"/>
    </row>
    <row r="21">
      <c r="A21" s="3" t="inlineStr">
        <is>
          <t>Net Change in Cash</t>
        </is>
      </c>
      <c r="C21" s="22">
        <f>'Cash Flow'!C10+'Cash Flow'!C14+'Cash Flow'!C18</f>
        <v/>
      </c>
      <c r="D21" s="22">
        <f>'Cash Flow'!D10+'Cash Flow'!D14+'Cash Flow'!D18</f>
        <v/>
      </c>
      <c r="E21" s="22">
        <f>'Cash Flow'!E10+'Cash Flow'!E14+'Cash Flow'!E18</f>
        <v/>
      </c>
      <c r="F21" s="22">
        <f>'Cash Flow'!F10+'Cash Flow'!F14+'Cash Flow'!F18</f>
        <v/>
      </c>
      <c r="G21" s="22">
        <f>'Cash Flow'!G10+'Cash Flow'!G14+'Cash Flow'!G18</f>
        <v/>
      </c>
    </row>
    <row r="22">
      <c r="A22" s="3" t="inlineStr">
        <is>
          <t>Opening Cash</t>
        </is>
      </c>
      <c r="C22" s="19">
        <f>Assumptions!$C$59</f>
        <v/>
      </c>
      <c r="D22" s="22">
        <f>'Cash Flow'!C23</f>
        <v/>
      </c>
      <c r="E22" s="22">
        <f>'Cash Flow'!D23</f>
        <v/>
      </c>
      <c r="F22" s="22">
        <f>'Cash Flow'!E23</f>
        <v/>
      </c>
      <c r="G22" s="22">
        <f>'Cash Flow'!F23</f>
        <v/>
      </c>
    </row>
    <row r="23">
      <c r="A23" s="23" t="inlineStr">
        <is>
          <t>CLOSING CASH  (= Balance Sheet: Cash &amp; Cash Equivalents)</t>
        </is>
      </c>
      <c r="B23" s="24" t="n"/>
      <c r="C23" s="26">
        <f>'Cash Flow'!C21+'Cash Flow'!C22</f>
        <v/>
      </c>
      <c r="D23" s="26">
        <f>'Cash Flow'!D21+'Cash Flow'!D22</f>
        <v/>
      </c>
      <c r="E23" s="26">
        <f>'Cash Flow'!E21+'Cash Flow'!E22</f>
        <v/>
      </c>
      <c r="F23" s="26">
        <f>'Cash Flow'!F21+'Cash Flow'!F22</f>
        <v/>
      </c>
      <c r="G23" s="26">
        <f>'Cash Flow'!G21+'Cash Flow'!G22</f>
        <v/>
      </c>
    </row>
  </sheetData>
  <pageMargins left="0.75" right="0.75" top="1" bottom="1" header="0.5" footer="0.5"/>
  <pageSetup orientation="landscape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C65911"/>
    <outlinePr summaryBelow="1" summaryRight="1"/>
    <pageSetUpPr fitToPage="1"/>
  </sheetPr>
  <dimension ref="A1:N47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 ht="24" customHeight="1">
      <c r="A1" s="16" t="inlineStr">
        <is>
          <t>VALUATION MODEL — VC METHOD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All figures in GBP (£) unless stated</t>
        </is>
      </c>
    </row>
    <row r="3">
      <c r="A3" s="1" t="inlineStr">
        <is>
          <t>A. VALUATION ASSUMPTIONS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A4" s="3" t="inlineStr">
        <is>
          <t>Currency</t>
        </is>
      </c>
      <c r="C4" s="31" t="inlineStr">
        <is>
          <t>GBP</t>
        </is>
      </c>
    </row>
    <row r="5">
      <c r="A5" s="3" t="inlineStr">
        <is>
          <t>Valuation Date</t>
        </is>
      </c>
      <c r="C5" s="31" t="inlineStr">
        <is>
          <t>2025-08-01</t>
        </is>
      </c>
    </row>
    <row r="6">
      <c r="A6" s="3" t="inlineStr">
        <is>
          <t>Exit Year</t>
        </is>
      </c>
      <c r="C6" s="6" t="n">
        <v>5</v>
      </c>
    </row>
    <row r="7">
      <c r="A7" s="3" t="inlineStr">
        <is>
          <t>EV / Revenue Multiple</t>
        </is>
      </c>
      <c r="C7" s="32" t="n">
        <v>7</v>
      </c>
    </row>
    <row r="8">
      <c r="A8" s="3" t="inlineStr">
        <is>
          <t>Financial Debt at Exit (£)</t>
        </is>
      </c>
      <c r="C8" s="12" t="n">
        <v>0</v>
      </c>
    </row>
    <row r="9">
      <c r="A9" s="3" t="inlineStr">
        <is>
          <t>Cash at Exit (£)  [→ Balance Sheet G6]</t>
        </is>
      </c>
      <c r="C9" s="33">
        <f>'Balance Sheet'!G6</f>
        <v/>
      </c>
    </row>
    <row r="10">
      <c r="A10" s="3" t="inlineStr">
        <is>
          <t>Required Return Y1-3</t>
        </is>
      </c>
      <c r="C10" s="5" t="n">
        <v>0.5</v>
      </c>
    </row>
    <row r="11">
      <c r="A11" s="3" t="inlineStr">
        <is>
          <t>Required Return Y4-6</t>
        </is>
      </c>
      <c r="C11" s="5" t="n">
        <v>0.35</v>
      </c>
    </row>
    <row r="12">
      <c r="A12" s="3" t="inlineStr">
        <is>
          <t>Required Return Y7-10</t>
        </is>
      </c>
      <c r="C12" s="5" t="n">
        <v>0.25</v>
      </c>
    </row>
    <row r="13">
      <c r="A13" s="3" t="inlineStr">
        <is>
          <t>Revenue CAGR Y5-Y10</t>
        </is>
      </c>
      <c r="C13" s="5" t="n">
        <v>0.6</v>
      </c>
    </row>
    <row r="14">
      <c r="A14" s="3" t="inlineStr">
        <is>
          <t>Equity Growth Rate Y5-Y10</t>
        </is>
      </c>
      <c r="C14" s="5" t="n">
        <v>0.6</v>
      </c>
    </row>
    <row r="16">
      <c r="A16" s="8" t="inlineStr">
        <is>
          <t>Forecast Year →</t>
        </is>
      </c>
      <c r="C16" s="9" t="n">
        <v>0</v>
      </c>
      <c r="D16" s="9" t="n">
        <v>1</v>
      </c>
      <c r="E16" s="9" t="n">
        <v>2</v>
      </c>
      <c r="F16" s="9" t="n">
        <v>3</v>
      </c>
      <c r="G16" s="9" t="n">
        <v>4</v>
      </c>
      <c r="H16" s="9" t="n">
        <v>5</v>
      </c>
      <c r="I16" s="9" t="n">
        <v>6</v>
      </c>
      <c r="J16" s="9" t="n">
        <v>7</v>
      </c>
      <c r="K16" s="9" t="n">
        <v>8</v>
      </c>
      <c r="L16" s="9" t="n">
        <v>9</v>
      </c>
      <c r="M16" s="9" t="n">
        <v>10</v>
      </c>
    </row>
    <row r="17">
      <c r="A17" s="1" t="inlineStr">
        <is>
          <t>B. REVENUE PROJECTIONS  (£)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>
      <c r="A18" s="3" t="inlineStr">
        <is>
          <t>Net Revenue (Total Gross Revenue)</t>
        </is>
      </c>
      <c r="C18" s="22" t="n">
        <v>0</v>
      </c>
      <c r="D18" s="19">
        <f>'Income Statement'!C10</f>
        <v/>
      </c>
      <c r="E18" s="19">
        <f>'Income Statement'!D10</f>
        <v/>
      </c>
      <c r="F18" s="19">
        <f>'Income Statement'!E10</f>
        <v/>
      </c>
      <c r="G18" s="19">
        <f>'Income Statement'!F10</f>
        <v/>
      </c>
      <c r="H18" s="19">
        <f>'Income Statement'!G10</f>
        <v/>
      </c>
      <c r="I18" s="22">
        <f>H18*(1+$C$13)</f>
        <v/>
      </c>
      <c r="J18" s="22">
        <f>I18*(1+$C$13)</f>
        <v/>
      </c>
      <c r="K18" s="22">
        <f>J18*(1+$C$13)</f>
        <v/>
      </c>
      <c r="L18" s="22">
        <f>K18*(1+$C$13)</f>
        <v/>
      </c>
      <c r="M18" s="22">
        <f>L18*(1+$C$13)</f>
        <v/>
      </c>
    </row>
    <row r="20">
      <c r="A20" s="1" t="inlineStr">
        <is>
          <t>C. VC VALUATION TABLE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>
      <c r="A21" s="3" t="inlineStr">
        <is>
          <t>Forecast Year</t>
        </is>
      </c>
      <c r="C21" s="34" t="n">
        <v>0</v>
      </c>
      <c r="D21" s="34" t="n">
        <v>1</v>
      </c>
      <c r="E21" s="34" t="n">
        <v>2</v>
      </c>
      <c r="F21" s="34" t="n">
        <v>3</v>
      </c>
      <c r="G21" s="34" t="n">
        <v>4</v>
      </c>
      <c r="H21" s="34" t="n">
        <v>5</v>
      </c>
      <c r="I21" s="34" t="n">
        <v>6</v>
      </c>
      <c r="J21" s="34" t="n">
        <v>7</v>
      </c>
      <c r="K21" s="34" t="n">
        <v>8</v>
      </c>
      <c r="L21" s="34" t="n">
        <v>9</v>
      </c>
      <c r="M21" s="34" t="n">
        <v>10</v>
      </c>
    </row>
    <row r="22">
      <c r="A22" s="3" t="inlineStr">
        <is>
          <t>Cash Flow Date</t>
        </is>
      </c>
      <c r="C22" s="35">
        <f>$C$5</f>
        <v/>
      </c>
      <c r="D22" s="35">
        <f>EDATE(C22,12)</f>
        <v/>
      </c>
      <c r="E22" s="35">
        <f>EDATE(D22,12)</f>
        <v/>
      </c>
      <c r="F22" s="35">
        <f>EDATE(E22,12)</f>
        <v/>
      </c>
      <c r="G22" s="35">
        <f>EDATE(F22,12)</f>
        <v/>
      </c>
      <c r="H22" s="35">
        <f>EDATE(G22,12)</f>
        <v/>
      </c>
      <c r="I22" s="35">
        <f>EDATE(H22,12)</f>
        <v/>
      </c>
      <c r="J22" s="35">
        <f>EDATE(I22,12)</f>
        <v/>
      </c>
      <c r="K22" s="35">
        <f>EDATE(J22,12)</f>
        <v/>
      </c>
      <c r="L22" s="35">
        <f>EDATE(K22,12)</f>
        <v/>
      </c>
      <c r="M22" s="35">
        <f>EDATE(L22,12)</f>
        <v/>
      </c>
    </row>
    <row r="23">
      <c r="A23" s="3" t="inlineStr">
        <is>
          <t>Net Revenue (£)</t>
        </is>
      </c>
      <c r="C23" s="22">
        <f>C18</f>
        <v/>
      </c>
      <c r="D23" s="22">
        <f>D18</f>
        <v/>
      </c>
      <c r="E23" s="22">
        <f>E18</f>
        <v/>
      </c>
      <c r="F23" s="22">
        <f>F18</f>
        <v/>
      </c>
      <c r="G23" s="22">
        <f>G18</f>
        <v/>
      </c>
      <c r="H23" s="22">
        <f>H18</f>
        <v/>
      </c>
      <c r="I23" s="22">
        <f>I18</f>
        <v/>
      </c>
      <c r="J23" s="22">
        <f>J18</f>
        <v/>
      </c>
      <c r="K23" s="22">
        <f>K18</f>
        <v/>
      </c>
      <c r="L23" s="22">
        <f>L18</f>
        <v/>
      </c>
      <c r="M23" s="22">
        <f>M18</f>
        <v/>
      </c>
    </row>
    <row r="24">
      <c r="A24" s="3" t="inlineStr">
        <is>
          <t>Enterprise Value  (EV = Revenue × Multiple)</t>
        </is>
      </c>
      <c r="C24" s="22">
        <f>C23*$C$7</f>
        <v/>
      </c>
      <c r="D24" s="22">
        <f>D23*$C$7</f>
        <v/>
      </c>
      <c r="E24" s="22">
        <f>E23*$C$7</f>
        <v/>
      </c>
      <c r="F24" s="22">
        <f>F23*$C$7</f>
        <v/>
      </c>
      <c r="G24" s="22">
        <f>G23*$C$7</f>
        <v/>
      </c>
      <c r="H24" s="22">
        <f>H23*$C$7</f>
        <v/>
      </c>
      <c r="I24" s="22">
        <f>I23*$C$7</f>
        <v/>
      </c>
      <c r="J24" s="22">
        <f>J23*$C$7</f>
        <v/>
      </c>
      <c r="K24" s="22">
        <f>K23*$C$7</f>
        <v/>
      </c>
      <c r="L24" s="22">
        <f>L23*$C$7</f>
        <v/>
      </c>
      <c r="M24" s="22">
        <f>M23*$C$7</f>
        <v/>
      </c>
    </row>
    <row r="25">
      <c r="A25" s="3" t="inlineStr">
        <is>
          <t>Financial Debt at Exit (£)</t>
        </is>
      </c>
      <c r="C25" s="22" t="n">
        <v>0</v>
      </c>
      <c r="D25" s="22">
        <f>IF(D21=$C$6,-$C$8,0)</f>
        <v/>
      </c>
      <c r="E25" s="22">
        <f>IF(E21=$C$6,-$C$8,0)</f>
        <v/>
      </c>
      <c r="F25" s="22">
        <f>IF(F21=$C$6,-$C$8,0)</f>
        <v/>
      </c>
      <c r="G25" s="22">
        <f>IF(G21=$C$6,-$C$8,0)</f>
        <v/>
      </c>
      <c r="H25" s="22">
        <f>IF(H21=$C$6,-$C$8,0)</f>
        <v/>
      </c>
      <c r="I25" s="22">
        <f>IF(I21=$C$6,-$C$8,0)</f>
        <v/>
      </c>
      <c r="J25" s="22">
        <f>IF(J21=$C$6,-$C$8,0)</f>
        <v/>
      </c>
      <c r="K25" s="22">
        <f>IF(K21=$C$6,-$C$8,0)</f>
        <v/>
      </c>
      <c r="L25" s="22">
        <f>IF(L21=$C$6,-$C$8,0)</f>
        <v/>
      </c>
      <c r="M25" s="22">
        <f>IF(M21=$C$6,-$C$8,0)</f>
        <v/>
      </c>
    </row>
    <row r="26">
      <c r="A26" s="3" t="inlineStr">
        <is>
          <t>Cash at Exit / 2% of Revenue (£)</t>
        </is>
      </c>
      <c r="C26" s="22" t="n">
        <v>0</v>
      </c>
      <c r="D26" s="22">
        <f>IF(D21=$C$6,$C$9,IF(D21&gt;$C$6,D23*0.02,0))</f>
        <v/>
      </c>
      <c r="E26" s="22">
        <f>IF(E21=$C$6,$C$9,IF(E21&gt;$C$6,E23*0.02,0))</f>
        <v/>
      </c>
      <c r="F26" s="22">
        <f>IF(F21=$C$6,$C$9,IF(F21&gt;$C$6,F23*0.02,0))</f>
        <v/>
      </c>
      <c r="G26" s="22">
        <f>IF(G21=$C$6,$C$9,IF(G21&gt;$C$6,G23*0.02,0))</f>
        <v/>
      </c>
      <c r="H26" s="19">
        <f>IF(H21=$C$6,$C$9,IF(H21&gt;$C$6,H23*0.02,0))</f>
        <v/>
      </c>
      <c r="I26" s="22">
        <f>IF(I21=$C$6,$C$9,IF(I21&gt;$C$6,I23*0.02,0))</f>
        <v/>
      </c>
      <c r="J26" s="22">
        <f>IF(J21=$C$6,$C$9,IF(J21&gt;$C$6,J23*0.02,0))</f>
        <v/>
      </c>
      <c r="K26" s="22">
        <f>IF(K21=$C$6,$C$9,IF(K21&gt;$C$6,K23*0.02,0))</f>
        <v/>
      </c>
      <c r="L26" s="22">
        <f>IF(L21=$C$6,$C$9,IF(L21&gt;$C$6,L23*0.02,0))</f>
        <v/>
      </c>
      <c r="M26" s="22">
        <f>IF(M21=$C$6,$C$9,IF(M21&gt;$C$6,M23*0.02,0))</f>
        <v/>
      </c>
    </row>
    <row r="27">
      <c r="A27" s="3" t="inlineStr">
        <is>
          <t>Equity Value (£)</t>
        </is>
      </c>
      <c r="C27" s="22" t="n">
        <v>0</v>
      </c>
      <c r="D27" s="22">
        <f>IF(D21&lt;=$C$6,D24+D25+D26,C27*(1+$C$14))</f>
        <v/>
      </c>
      <c r="E27" s="22">
        <f>IF(E21&lt;=$C$6,E24+E25+E26,D27*(1+$C$14))</f>
        <v/>
      </c>
      <c r="F27" s="22">
        <f>IF(F21&lt;=$C$6,F24+F25+F26,E27*(1+$C$14))</f>
        <v/>
      </c>
      <c r="G27" s="22">
        <f>IF(G21&lt;=$C$6,G24+G25+G26,F27*(1+$C$14))</f>
        <v/>
      </c>
      <c r="H27" s="22">
        <f>IF(H21&lt;=$C$6,H24+H25+H26,G27*(1+$C$14))</f>
        <v/>
      </c>
      <c r="I27" s="22">
        <f>IF(I21&lt;=$C$6,I24+I25+I26,H27*(1+$C$14))</f>
        <v/>
      </c>
      <c r="J27" s="22">
        <f>IF(J21&lt;=$C$6,J24+J25+J26,I27*(1+$C$14))</f>
        <v/>
      </c>
      <c r="K27" s="22">
        <f>IF(K21&lt;=$C$6,K24+K25+K26,J27*(1+$C$14))</f>
        <v/>
      </c>
      <c r="L27" s="22">
        <f>IF(L21&lt;=$C$6,L24+L25+L26,K27*(1+$C$14))</f>
        <v/>
      </c>
      <c r="M27" s="22">
        <f>IF(M21&lt;=$C$6,M24+M25+M26,L27*(1+$C$14))</f>
        <v/>
      </c>
    </row>
    <row r="28">
      <c r="A28" s="3" t="inlineStr">
        <is>
          <t>Discount Rate (tiered)</t>
        </is>
      </c>
      <c r="C28" s="36" t="n">
        <v>0</v>
      </c>
      <c r="D28" s="36">
        <f>IF(D21&lt;=3,$C$10,IF(D21&lt;=6,$C$11,$C$12))</f>
        <v/>
      </c>
      <c r="E28" s="36">
        <f>IF(E21&lt;=3,$C$10,IF(E21&lt;=6,$C$11,$C$12))</f>
        <v/>
      </c>
      <c r="F28" s="36">
        <f>IF(F21&lt;=3,$C$10,IF(F21&lt;=6,$C$11,$C$12))</f>
        <v/>
      </c>
      <c r="G28" s="36">
        <f>IF(G21&lt;=3,$C$10,IF(G21&lt;=6,$C$11,$C$12))</f>
        <v/>
      </c>
      <c r="H28" s="36">
        <f>IF(H21&lt;=3,$C$10,IF(H21&lt;=6,$C$11,$C$12))</f>
        <v/>
      </c>
      <c r="I28" s="36">
        <f>IF(I21&lt;=3,$C$10,IF(I21&lt;=6,$C$11,$C$12))</f>
        <v/>
      </c>
      <c r="J28" s="36">
        <f>IF(J21&lt;=3,$C$10,IF(J21&lt;=6,$C$11,$C$12))</f>
        <v/>
      </c>
      <c r="K28" s="36">
        <f>IF(K21&lt;=3,$C$10,IF(K21&lt;=6,$C$11,$C$12))</f>
        <v/>
      </c>
      <c r="L28" s="36">
        <f>IF(L21&lt;=3,$C$10,IF(L21&lt;=6,$C$11,$C$12))</f>
        <v/>
      </c>
      <c r="M28" s="36">
        <f>IF(M21&lt;=3,$C$10,IF(M21&lt;=6,$C$11,$C$12))</f>
        <v/>
      </c>
    </row>
    <row r="29">
      <c r="A29" s="3" t="inlineStr">
        <is>
          <t>Discount Period (years from valuation date)</t>
        </is>
      </c>
      <c r="C29" s="37" t="n">
        <v>0</v>
      </c>
      <c r="D29" s="37">
        <f>C29+ROUND((D22-C22)/365,1)</f>
        <v/>
      </c>
      <c r="E29" s="37">
        <f>D29+ROUND((E22-D22)/365,1)</f>
        <v/>
      </c>
      <c r="F29" s="37">
        <f>E29+ROUND((F22-E22)/365,1)</f>
        <v/>
      </c>
      <c r="G29" s="37">
        <f>F29+ROUND((G22-F22)/365,1)</f>
        <v/>
      </c>
      <c r="H29" s="37">
        <f>G29+ROUND((H22-G22)/365,1)</f>
        <v/>
      </c>
      <c r="I29" s="37">
        <f>H29+ROUND((I22-H22)/365,1)</f>
        <v/>
      </c>
      <c r="J29" s="37">
        <f>I29+ROUND((J22-I22)/365,1)</f>
        <v/>
      </c>
      <c r="K29" s="37">
        <f>J29+ROUND((K22-J22)/365,1)</f>
        <v/>
      </c>
      <c r="L29" s="37">
        <f>K29+ROUND((L22-K22)/365,1)</f>
        <v/>
      </c>
      <c r="M29" s="37">
        <f>L29+ROUND((M22-L22)/365,1)</f>
        <v/>
      </c>
    </row>
    <row r="30">
      <c r="A30" s="3" t="inlineStr">
        <is>
          <t>Discount Factor</t>
        </is>
      </c>
      <c r="C30" s="38" t="n">
        <v>1</v>
      </c>
      <c r="D30" s="38">
        <f>1/(1+D28)^D29</f>
        <v/>
      </c>
      <c r="E30" s="38">
        <f>1/(1+E28)^E29</f>
        <v/>
      </c>
      <c r="F30" s="38">
        <f>1/(1+F28)^F29</f>
        <v/>
      </c>
      <c r="G30" s="38">
        <f>1/(1+G28)^G29</f>
        <v/>
      </c>
      <c r="H30" s="38">
        <f>1/(1+H28)^H29</f>
        <v/>
      </c>
      <c r="I30" s="38">
        <f>1/(1+I28)^I29</f>
        <v/>
      </c>
      <c r="J30" s="38">
        <f>1/(1+J28)^J29</f>
        <v/>
      </c>
      <c r="K30" s="38">
        <f>1/(1+K28)^K29</f>
        <v/>
      </c>
      <c r="L30" s="38">
        <f>1/(1+L28)^L29</f>
        <v/>
      </c>
      <c r="M30" s="38">
        <f>1/(1+M28)^M29</f>
        <v/>
      </c>
    </row>
    <row r="31">
      <c r="A31" s="3" t="inlineStr">
        <is>
          <t>Present Value (£) — exit year onwards</t>
        </is>
      </c>
      <c r="C31" s="22" t="inlineStr"/>
      <c r="D31" s="22" t="inlineStr"/>
      <c r="E31" s="22" t="inlineStr"/>
      <c r="F31" s="22" t="inlineStr"/>
      <c r="G31" s="22" t="inlineStr"/>
      <c r="H31" s="22">
        <f>H27/((1+$C$10)^MIN(5,3)*(1+$C$11)^MAX(0,MIN(5,6)-3)*(1+$C$12)^MAX(0,5-6))</f>
        <v/>
      </c>
      <c r="I31" s="22">
        <f>I27/((1+$C$10)^MIN(6,3)*(1+$C$11)^MAX(0,MIN(6,6)-3)*(1+$C$12)^MAX(0,6-6))</f>
        <v/>
      </c>
      <c r="J31" s="22">
        <f>J27/((1+$C$10)^MIN(7,3)*(1+$C$11)^MAX(0,MIN(7,6)-3)*(1+$C$12)^MAX(0,7-6))</f>
        <v/>
      </c>
      <c r="K31" s="22">
        <f>K27/((1+$C$10)^MIN(8,3)*(1+$C$11)^MAX(0,MIN(8,6)-3)*(1+$C$12)^MAX(0,8-6))</f>
        <v/>
      </c>
      <c r="L31" s="22">
        <f>L27/((1+$C$10)^MIN(9,3)*(1+$C$11)^MAX(0,MIN(9,6)-3)*(1+$C$12)^MAX(0,9-6))</f>
        <v/>
      </c>
      <c r="M31" s="22">
        <f>M27/((1+$C$10)^MIN(10,3)*(1+$C$11)^MAX(0,MIN(10,6)-3)*(1+$C$12)^MAX(0,10-6))</f>
        <v/>
      </c>
    </row>
    <row r="33">
      <c r="A33" s="1" t="inlineStr">
        <is>
          <t>D. INVESTOR CALCULATION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>
      <c r="A34" s="3" t="inlineStr">
        <is>
          <t>Investment Amount (£)</t>
        </is>
      </c>
      <c r="C34" s="10" t="n">
        <v>250000</v>
      </c>
    </row>
    <row r="35">
      <c r="A35" s="3" t="inlineStr">
        <is>
          <t>Equity Stake at Entry</t>
        </is>
      </c>
      <c r="C35" s="39">
        <f>'Cap Table'!C9</f>
        <v/>
      </c>
    </row>
    <row r="36">
      <c r="A36" s="3" t="inlineStr">
        <is>
          <t>Dilution Effect</t>
        </is>
      </c>
      <c r="C36" s="39">
        <f>'Cap Table'!C30-'Cap Table'!C9</f>
        <v/>
      </c>
    </row>
    <row r="37">
      <c r="A37" s="3" t="inlineStr">
        <is>
          <t>Equity Stake at Exit</t>
        </is>
      </c>
      <c r="C37" s="40">
        <f>$C$35+$C$36</f>
        <v/>
      </c>
    </row>
    <row r="38">
      <c r="A38" s="3" t="inlineStr">
        <is>
          <t>Exit Proceeds  (Equity Value × Stake at Exit)</t>
        </is>
      </c>
      <c r="C38" s="22">
        <f>H27*$C$37</f>
        <v/>
      </c>
    </row>
    <row r="39">
      <c r="A39" s="3" t="inlineStr">
        <is>
          <t>Investor Cash Flows (£)</t>
        </is>
      </c>
      <c r="C39" s="22">
        <f>-$C$34</f>
        <v/>
      </c>
      <c r="D39" s="22">
        <f>0</f>
        <v/>
      </c>
      <c r="E39" s="22">
        <f>0</f>
        <v/>
      </c>
      <c r="F39" s="22">
        <f>0</f>
        <v/>
      </c>
      <c r="G39" s="22">
        <f>0</f>
        <v/>
      </c>
      <c r="H39" s="22">
        <f>$C$38</f>
        <v/>
      </c>
      <c r="I39" s="22">
        <f>0</f>
        <v/>
      </c>
      <c r="J39" s="22">
        <f>0</f>
        <v/>
      </c>
      <c r="K39" s="22">
        <f>0</f>
        <v/>
      </c>
      <c r="L39" s="22">
        <f>0</f>
        <v/>
      </c>
      <c r="M39" s="22">
        <f>0</f>
        <v/>
      </c>
    </row>
    <row r="40">
      <c r="A40" s="3" t="inlineStr">
        <is>
          <t>Investor IRR  (=IRR of cash flows)</t>
        </is>
      </c>
      <c r="C40" s="40">
        <f>IRR(C39:M39)</f>
        <v/>
      </c>
    </row>
    <row r="41">
      <c r="A41" s="3" t="inlineStr">
        <is>
          <t>Cash-on-Cash Multiple  (Exit Proceeds ÷ Investment)</t>
        </is>
      </c>
      <c r="C41" s="41">
        <f>$C$38/$C$34</f>
        <v/>
      </c>
    </row>
    <row r="43">
      <c r="A43" s="1" t="inlineStr">
        <is>
          <t>E. SUMMARY METRICS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</row>
    <row r="44">
      <c r="A44" s="3" t="inlineStr">
        <is>
          <t>Equity Value Today (£)</t>
        </is>
      </c>
      <c r="C44" s="42">
        <f>H31</f>
        <v/>
      </c>
    </row>
    <row r="45">
      <c r="A45" s="3" t="inlineStr">
        <is>
          <t>Investor IRR</t>
        </is>
      </c>
      <c r="C45" s="43">
        <f>$C$40</f>
        <v/>
      </c>
    </row>
    <row r="46">
      <c r="A46" s="3" t="inlineStr">
        <is>
          <t>Cash-on-Cash Multiple</t>
        </is>
      </c>
      <c r="C46" s="44">
        <f>$C$41</f>
        <v/>
      </c>
    </row>
    <row r="47">
      <c r="A47" s="3" t="inlineStr">
        <is>
          <t>Exit Proceeds (Year 5, £)</t>
        </is>
      </c>
      <c r="C47" s="42">
        <f>$C$38</f>
        <v/>
      </c>
    </row>
  </sheetData>
  <pageMargins left="0.75" right="0.75" top="1" bottom="1" header="0.5" footer="0.5"/>
  <pageSetup orientation="landscape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K3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 ht="24" customHeight="1">
      <c r="A1" s="16" t="inlineStr">
        <is>
          <t>CAPITALISATION TABLE  (CAP TABLE)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27" t="inlineStr">
        <is>
          <t>Share counts are fractional — rounded for display only</t>
        </is>
      </c>
      <c r="I2" s="45" t="inlineStr">
        <is>
          <t>GBP/USD FX Rate:</t>
        </is>
      </c>
      <c r="J2" s="46" t="n">
        <v>0.7577</v>
      </c>
    </row>
    <row r="3">
      <c r="A3" s="1" t="inlineStr">
        <is>
          <t>A. INITIAL CAP TABLE  (Pre-Funding)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4">
      <c r="A4" s="9" t="inlineStr">
        <is>
          <t>Shareholder</t>
        </is>
      </c>
      <c r="B4" s="9" t="inlineStr">
        <is>
          <t>Shares</t>
        </is>
      </c>
      <c r="C4" s="9" t="inlineStr">
        <is>
          <t>Ownership %</t>
        </is>
      </c>
    </row>
    <row r="5">
      <c r="A5" s="47" t="inlineStr">
        <is>
          <t>Founders</t>
        </is>
      </c>
      <c r="B5" s="48" t="n">
        <v>1000000</v>
      </c>
      <c r="C5" s="40">
        <f>B5/B5</f>
        <v/>
      </c>
    </row>
    <row r="7">
      <c r="A7" s="1" t="inlineStr">
        <is>
          <t>B. FUNDING ROUNDS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</row>
    <row r="8">
      <c r="A8" s="9" t="inlineStr">
        <is>
          <t>Round</t>
        </is>
      </c>
      <c r="B8" s="9" t="inlineStr">
        <is>
          <t>Date</t>
        </is>
      </c>
      <c r="C8" s="9" t="inlineStr">
        <is>
          <t>Ownership %</t>
        </is>
      </c>
      <c r="D8" s="9" t="inlineStr">
        <is>
          <t>Shares Issued</t>
        </is>
      </c>
      <c r="E8" s="9" t="inlineStr">
        <is>
          <t>Amount (£)</t>
        </is>
      </c>
      <c r="F8" s="9" t="inlineStr">
        <is>
          <t>Amount ($)</t>
        </is>
      </c>
      <c r="G8" s="9" t="inlineStr">
        <is>
          <t>Valuation (£)</t>
        </is>
      </c>
      <c r="H8" s="9" t="inlineStr">
        <is>
          <t>Valuation ($)</t>
        </is>
      </c>
    </row>
    <row r="9">
      <c r="A9" s="47" t="inlineStr">
        <is>
          <t>Pre-seed T1</t>
        </is>
      </c>
      <c r="B9" s="4" t="inlineStr">
        <is>
          <t>2025-10-01</t>
        </is>
      </c>
      <c r="C9" s="49" t="n">
        <v>0.040652</v>
      </c>
      <c r="D9" s="50">
        <f>(B5)/(1-C9)-(B5)</f>
        <v/>
      </c>
      <c r="E9" s="19">
        <f>Assumptions!C52</f>
        <v/>
      </c>
      <c r="F9" s="22">
        <f>E9/$J$2</f>
        <v/>
      </c>
      <c r="G9" s="19">
        <f>Valuation!C24</f>
        <v/>
      </c>
      <c r="H9" s="22">
        <f>G9/$J$2</f>
        <v/>
      </c>
    </row>
    <row r="10">
      <c r="A10" s="47" t="inlineStr">
        <is>
          <t>Pre-seed T2</t>
        </is>
      </c>
      <c r="B10" s="4" t="inlineStr">
        <is>
          <t>2026-03-01</t>
        </is>
      </c>
      <c r="C10" s="49" t="n">
        <v>0.029269</v>
      </c>
      <c r="D10" s="50">
        <f>(B5+SUM(D9:D9))/(1-C10)-(B5+SUM(D9:D9))</f>
        <v/>
      </c>
      <c r="E10" s="19">
        <f>Assumptions!D52</f>
        <v/>
      </c>
      <c r="F10" s="22">
        <f>E10/$J$2</f>
        <v/>
      </c>
      <c r="G10" s="19">
        <f>Valuation!D24</f>
        <v/>
      </c>
      <c r="H10" s="22">
        <f>G10/$J$2</f>
        <v/>
      </c>
    </row>
    <row r="11">
      <c r="A11" s="47" t="inlineStr">
        <is>
          <t>Seed</t>
        </is>
      </c>
      <c r="B11" s="4" t="inlineStr">
        <is>
          <t>2026-10-01</t>
        </is>
      </c>
      <c r="C11" s="49" t="n">
        <v>0.1372</v>
      </c>
      <c r="D11" s="50">
        <f>(B5+SUM(D9:D10))/(1-C11)-(B5+SUM(D9:D10))</f>
        <v/>
      </c>
      <c r="E11" s="19">
        <f>Assumptions!D52</f>
        <v/>
      </c>
      <c r="F11" s="22">
        <f>E11/$J$2</f>
        <v/>
      </c>
      <c r="G11" s="19">
        <f>Valuation!D24</f>
        <v/>
      </c>
      <c r="H11" s="22">
        <f>G11/$J$2</f>
        <v/>
      </c>
    </row>
    <row r="12">
      <c r="A12" s="47" t="inlineStr">
        <is>
          <t>Series A T1</t>
        </is>
      </c>
      <c r="B12" s="4" t="inlineStr">
        <is>
          <t>2027-10-01</t>
        </is>
      </c>
      <c r="C12" s="49" t="n">
        <v>0.095278</v>
      </c>
      <c r="D12" s="50">
        <f>(B5+SUM(D9:D11))/(1-C12)-(B5+SUM(D9:D11))</f>
        <v/>
      </c>
      <c r="E12" s="19">
        <f>Assumptions!E52</f>
        <v/>
      </c>
      <c r="F12" s="22">
        <f>E12/$J$2</f>
        <v/>
      </c>
      <c r="G12" s="19">
        <f>Valuation!E24</f>
        <v/>
      </c>
      <c r="H12" s="22">
        <f>G12/$J$2</f>
        <v/>
      </c>
    </row>
    <row r="13">
      <c r="A13" s="47" t="inlineStr">
        <is>
          <t>Series A T2</t>
        </is>
      </c>
      <c r="B13" s="4" t="inlineStr">
        <is>
          <t>2028-10-01</t>
        </is>
      </c>
      <c r="C13" s="49" t="n">
        <v>0.049624</v>
      </c>
      <c r="D13" s="50">
        <f>(B5+SUM(D9:D12))/(1-C13)-(B5+SUM(D9:D12))</f>
        <v/>
      </c>
      <c r="E13" s="19">
        <f>Assumptions!F52</f>
        <v/>
      </c>
      <c r="F13" s="22">
        <f>E13/$J$2</f>
        <v/>
      </c>
      <c r="G13" s="19">
        <f>Valuation!F24</f>
        <v/>
      </c>
      <c r="H13" s="22">
        <f>G13/$J$2</f>
        <v/>
      </c>
    </row>
    <row r="14">
      <c r="A14" s="47" t="inlineStr">
        <is>
          <t>Series B</t>
        </is>
      </c>
      <c r="B14" s="4" t="inlineStr">
        <is>
          <t>2029-10-01</t>
        </is>
      </c>
      <c r="C14" s="49" t="n">
        <v>0.129228</v>
      </c>
      <c r="D14" s="50">
        <f>(B5+SUM(D9:D13))/(1-C14)-(B5+SUM(D9:D13))</f>
        <v/>
      </c>
      <c r="E14" s="19">
        <f>Assumptions!G52</f>
        <v/>
      </c>
      <c r="F14" s="22">
        <f>E14/$J$2</f>
        <v/>
      </c>
      <c r="G14" s="19">
        <f>Valuation!G24</f>
        <v/>
      </c>
      <c r="H14" s="22">
        <f>G14/$J$2</f>
        <v/>
      </c>
    </row>
    <row r="16">
      <c r="A16" s="1" t="inlineStr">
        <is>
          <t>C. CUMULATIVE CAP TABLE  (Shares after each round)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</row>
    <row r="17">
      <c r="A17" s="9" t="inlineStr">
        <is>
          <t>Shareholder</t>
        </is>
      </c>
      <c r="B17" s="9" t="inlineStr">
        <is>
          <t>Founders</t>
        </is>
      </c>
      <c r="C17" s="9" t="inlineStr">
        <is>
          <t>Pre-seed T1</t>
        </is>
      </c>
      <c r="D17" s="9" t="inlineStr">
        <is>
          <t>Pre-seed T2</t>
        </is>
      </c>
      <c r="E17" s="9" t="inlineStr">
        <is>
          <t>Seed</t>
        </is>
      </c>
      <c r="F17" s="9" t="inlineStr">
        <is>
          <t>Series A T1</t>
        </is>
      </c>
      <c r="G17" s="9" t="inlineStr">
        <is>
          <t>Series A T2</t>
        </is>
      </c>
      <c r="H17" s="9" t="inlineStr">
        <is>
          <t>Series B</t>
        </is>
      </c>
    </row>
    <row r="18">
      <c r="A18" s="3" t="inlineStr">
        <is>
          <t>Founders</t>
        </is>
      </c>
      <c r="B18" s="50">
        <f>$B$5</f>
        <v/>
      </c>
      <c r="C18" s="50">
        <f>$B$5</f>
        <v/>
      </c>
      <c r="D18" s="50">
        <f>$B$5</f>
        <v/>
      </c>
      <c r="E18" s="50">
        <f>$B$5</f>
        <v/>
      </c>
      <c r="F18" s="50">
        <f>$B$5</f>
        <v/>
      </c>
      <c r="G18" s="50">
        <f>$B$5</f>
        <v/>
      </c>
      <c r="H18" s="50">
        <f>$B$5</f>
        <v/>
      </c>
    </row>
    <row r="19">
      <c r="A19" s="3" t="inlineStr">
        <is>
          <t>Pre-seed T1</t>
        </is>
      </c>
      <c r="B19" s="50" t="n">
        <v>0</v>
      </c>
      <c r="C19" s="50">
        <f>$D$9</f>
        <v/>
      </c>
      <c r="D19" s="50">
        <f>$D$9</f>
        <v/>
      </c>
      <c r="E19" s="50">
        <f>$D$9</f>
        <v/>
      </c>
      <c r="F19" s="50">
        <f>$D$9</f>
        <v/>
      </c>
      <c r="G19" s="50">
        <f>$D$9</f>
        <v/>
      </c>
      <c r="H19" s="50">
        <f>$D$9</f>
        <v/>
      </c>
    </row>
    <row r="20">
      <c r="A20" s="3" t="inlineStr">
        <is>
          <t>Pre-seed T2</t>
        </is>
      </c>
      <c r="B20" s="50" t="n">
        <v>0</v>
      </c>
      <c r="C20" s="50" t="n">
        <v>0</v>
      </c>
      <c r="D20" s="50">
        <f>$D$10</f>
        <v/>
      </c>
      <c r="E20" s="50">
        <f>$D$10</f>
        <v/>
      </c>
      <c r="F20" s="50">
        <f>$D$10</f>
        <v/>
      </c>
      <c r="G20" s="50">
        <f>$D$10</f>
        <v/>
      </c>
      <c r="H20" s="50">
        <f>$D$10</f>
        <v/>
      </c>
    </row>
    <row r="21">
      <c r="A21" s="3" t="inlineStr">
        <is>
          <t>Seed</t>
        </is>
      </c>
      <c r="B21" s="50" t="n">
        <v>0</v>
      </c>
      <c r="C21" s="50" t="n">
        <v>0</v>
      </c>
      <c r="D21" s="50" t="n">
        <v>0</v>
      </c>
      <c r="E21" s="50">
        <f>$D$11</f>
        <v/>
      </c>
      <c r="F21" s="50">
        <f>$D$11</f>
        <v/>
      </c>
      <c r="G21" s="50">
        <f>$D$11</f>
        <v/>
      </c>
      <c r="H21" s="50">
        <f>$D$11</f>
        <v/>
      </c>
    </row>
    <row r="22">
      <c r="A22" s="3" t="inlineStr">
        <is>
          <t>Series A T1</t>
        </is>
      </c>
      <c r="B22" s="50" t="n">
        <v>0</v>
      </c>
      <c r="C22" s="50" t="n">
        <v>0</v>
      </c>
      <c r="D22" s="50" t="n">
        <v>0</v>
      </c>
      <c r="E22" s="50" t="n">
        <v>0</v>
      </c>
      <c r="F22" s="50">
        <f>$D$12</f>
        <v/>
      </c>
      <c r="G22" s="50">
        <f>$D$12</f>
        <v/>
      </c>
      <c r="H22" s="50">
        <f>$D$12</f>
        <v/>
      </c>
    </row>
    <row r="23">
      <c r="A23" s="3" t="inlineStr">
        <is>
          <t>Series A T2</t>
        </is>
      </c>
      <c r="B23" s="50" t="n">
        <v>0</v>
      </c>
      <c r="C23" s="50" t="n">
        <v>0</v>
      </c>
      <c r="D23" s="50" t="n">
        <v>0</v>
      </c>
      <c r="E23" s="50" t="n">
        <v>0</v>
      </c>
      <c r="F23" s="50" t="n">
        <v>0</v>
      </c>
      <c r="G23" s="50">
        <f>$D$13</f>
        <v/>
      </c>
      <c r="H23" s="50">
        <f>$D$13</f>
        <v/>
      </c>
    </row>
    <row r="24">
      <c r="A24" s="3" t="inlineStr">
        <is>
          <t>Series B</t>
        </is>
      </c>
      <c r="B24" s="50" t="n">
        <v>0</v>
      </c>
      <c r="C24" s="50" t="n">
        <v>0</v>
      </c>
      <c r="D24" s="50" t="n">
        <v>0</v>
      </c>
      <c r="E24" s="50" t="n">
        <v>0</v>
      </c>
      <c r="F24" s="50" t="n">
        <v>0</v>
      </c>
      <c r="G24" s="50" t="n">
        <v>0</v>
      </c>
      <c r="H24" s="50">
        <f>$D$14</f>
        <v/>
      </c>
    </row>
    <row r="25">
      <c r="A25" s="23" t="inlineStr">
        <is>
          <t>TOTAL SHARES</t>
        </is>
      </c>
      <c r="B25" s="51">
        <f>SUM(B18:B24)</f>
        <v/>
      </c>
      <c r="C25" s="51">
        <f>SUM(C18:C24)</f>
        <v/>
      </c>
      <c r="D25" s="51">
        <f>SUM(D18:D24)</f>
        <v/>
      </c>
      <c r="E25" s="51">
        <f>SUM(E18:E24)</f>
        <v/>
      </c>
      <c r="F25" s="51">
        <f>SUM(F18:F24)</f>
        <v/>
      </c>
      <c r="G25" s="51">
        <f>SUM(G18:G24)</f>
        <v/>
      </c>
      <c r="H25" s="51">
        <f>SUM(H18:H24)</f>
        <v/>
      </c>
    </row>
    <row r="27">
      <c r="A27" s="1" t="inlineStr">
        <is>
          <t>D. FINAL OWNERSHIP %  (After All Rounds)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</row>
    <row r="28">
      <c r="A28" s="9" t="inlineStr">
        <is>
          <t>Shareholder</t>
        </is>
      </c>
      <c r="B28" s="9" t="inlineStr">
        <is>
          <t>Shares Held</t>
        </is>
      </c>
      <c r="C28" s="9" t="inlineStr">
        <is>
          <t>Ownership %</t>
        </is>
      </c>
    </row>
    <row r="29">
      <c r="A29" s="3" t="inlineStr">
        <is>
          <t>Founders</t>
        </is>
      </c>
      <c r="B29" s="50">
        <f>$B$5</f>
        <v/>
      </c>
      <c r="C29" s="40">
        <f>B29/H25</f>
        <v/>
      </c>
    </row>
    <row r="30">
      <c r="A30" s="3" t="inlineStr">
        <is>
          <t>Pre-seed T1</t>
        </is>
      </c>
      <c r="B30" s="50">
        <f>$D$9</f>
        <v/>
      </c>
      <c r="C30" s="40">
        <f>B30/H25</f>
        <v/>
      </c>
    </row>
    <row r="31">
      <c r="A31" s="3" t="inlineStr">
        <is>
          <t>Pre-seed T2</t>
        </is>
      </c>
      <c r="B31" s="50">
        <f>$D$10</f>
        <v/>
      </c>
      <c r="C31" s="40">
        <f>B31/H25</f>
        <v/>
      </c>
    </row>
    <row r="32">
      <c r="A32" s="3" t="inlineStr">
        <is>
          <t>Seed</t>
        </is>
      </c>
      <c r="B32" s="50">
        <f>$D$11</f>
        <v/>
      </c>
      <c r="C32" s="40">
        <f>B32/H25</f>
        <v/>
      </c>
    </row>
    <row r="33">
      <c r="A33" s="3" t="inlineStr">
        <is>
          <t>Series A T1</t>
        </is>
      </c>
      <c r="B33" s="50">
        <f>$D$12</f>
        <v/>
      </c>
      <c r="C33" s="40">
        <f>B33/H25</f>
        <v/>
      </c>
    </row>
    <row r="34">
      <c r="A34" s="3" t="inlineStr">
        <is>
          <t>Series A T2</t>
        </is>
      </c>
      <c r="B34" s="50">
        <f>$D$13</f>
        <v/>
      </c>
      <c r="C34" s="40">
        <f>B34/H25</f>
        <v/>
      </c>
    </row>
    <row r="35">
      <c r="A35" s="3" t="inlineStr">
        <is>
          <t>Series B</t>
        </is>
      </c>
      <c r="B35" s="50">
        <f>$D$14</f>
        <v/>
      </c>
      <c r="C35" s="40">
        <f>B35/H25</f>
        <v/>
      </c>
    </row>
    <row r="36">
      <c r="A36" s="23" t="inlineStr">
        <is>
          <t>TOTAL</t>
        </is>
      </c>
      <c r="B36" s="51">
        <f>H25</f>
        <v/>
      </c>
      <c r="C36" s="52">
        <f>SUM(C29:C35)</f>
        <v/>
      </c>
      <c r="D36" s="24" t="n"/>
    </row>
  </sheetData>
  <pageMargins left="0.75" right="0.75" top="1" bottom="1" header="0.5" footer="0.5"/>
  <pageSetup orientation="landscape" fitToWidth="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00B050"/>
    <outlinePr summaryBelow="1" summaryRight="1"/>
    <pageSetUpPr fitToPage="1"/>
  </sheetPr>
  <dimension ref="A1:S95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53" t="inlineStr">
        <is>
          <t>JOULE FINANCIAL MODEL — INVESTOR DASHBOARD</t>
        </is>
      </c>
      <c r="B1" s="54" t="n"/>
      <c r="C1" s="54" t="n"/>
      <c r="D1" s="54" t="n"/>
      <c r="E1" s="54" t="n"/>
      <c r="F1" s="54" t="n"/>
      <c r="G1" s="54" t="n"/>
      <c r="H1" s="54" t="n"/>
      <c r="I1" s="54" t="n"/>
      <c r="J1" s="54" t="n"/>
      <c r="K1" s="54" t="n"/>
      <c r="L1" s="54" t="n"/>
      <c r="M1" s="54" t="n"/>
      <c r="N1" s="54" t="n"/>
      <c r="O1" s="54" t="n"/>
    </row>
    <row r="2">
      <c r="A2" s="55" t="inlineStr">
        <is>
          <t>Equity Value Today (£)</t>
        </is>
      </c>
      <c r="B2" s="56">
        <f>IF(ISNUMBER(Valuation!C44),Valuation!C44,"N/A")</f>
        <v/>
      </c>
      <c r="D2" s="55" t="inlineStr">
        <is>
          <t>Exit Valuation Year 5 (£)</t>
        </is>
      </c>
      <c r="E2" s="56">
        <f>IF(ISNUMBER(Valuation!H27),Valuation!H27,"N/A")</f>
        <v/>
      </c>
      <c r="G2" s="55" t="inlineStr">
        <is>
          <t>Investor IRR</t>
        </is>
      </c>
      <c r="H2" s="57">
        <f>IF(ISNUMBER(Valuation!C45),Valuation!C45,"N/A")</f>
        <v/>
      </c>
      <c r="J2" s="55" t="inlineStr">
        <is>
          <t>Cash-on-Cash Multiple</t>
        </is>
      </c>
      <c r="K2" s="58">
        <f>IF(ISNUMBER(Valuation!C46),Valuation!C46,"N/A")</f>
        <v/>
      </c>
    </row>
    <row r="3">
      <c r="A3" s="55" t="inlineStr">
        <is>
          <t>EV/Revenue Multiple</t>
        </is>
      </c>
      <c r="B3" s="59" t="n">
        <v>7</v>
      </c>
      <c r="D3" s="55" t="inlineStr">
        <is>
          <t>Model Exit Year</t>
        </is>
      </c>
      <c r="E3" s="60" t="n">
        <v>5</v>
      </c>
      <c r="G3" s="55" t="inlineStr">
        <is>
          <t>Scenario</t>
        </is>
      </c>
      <c r="H3" s="61">
        <f>Assumptions!C4</f>
        <v/>
      </c>
    </row>
    <row r="5">
      <c r="A5" s="9" t="inlineStr">
        <is>
          <t>Year</t>
        </is>
      </c>
      <c r="B5" s="9" t="inlineStr">
        <is>
          <t>Worst</t>
        </is>
      </c>
      <c r="C5" s="9" t="inlineStr">
        <is>
          <t>Base</t>
        </is>
      </c>
      <c r="D5" s="9" t="inlineStr">
        <is>
          <t>Best</t>
        </is>
      </c>
      <c r="N5" s="9" t="inlineStr">
        <is>
          <t>Year</t>
        </is>
      </c>
      <c r="O5" s="9" t="inlineStr">
        <is>
          <t>Upfront Fee</t>
        </is>
      </c>
      <c r="P5" s="9" t="inlineStr">
        <is>
          <t>Completion</t>
        </is>
      </c>
      <c r="Q5" s="9" t="inlineStr">
        <is>
          <t>kWh Revenue</t>
        </is>
      </c>
    </row>
    <row r="6">
      <c r="A6" s="20" t="n">
        <v>2026</v>
      </c>
      <c r="B6" s="19">
        <f>Scenarios!C9</f>
        <v/>
      </c>
      <c r="C6" s="19">
        <f>Scenarios!C13</f>
        <v/>
      </c>
      <c r="D6" s="19">
        <f>Scenarios!C17</f>
        <v/>
      </c>
      <c r="N6" s="20" t="n">
        <v>2026</v>
      </c>
      <c r="O6" s="19">
        <f>'Income Statement'!C7</f>
        <v/>
      </c>
      <c r="P6" s="19">
        <f>'Income Statement'!C8</f>
        <v/>
      </c>
      <c r="Q6" s="19">
        <f>'Income Statement'!C9</f>
        <v/>
      </c>
    </row>
    <row r="7">
      <c r="A7" s="20" t="n">
        <v>2027</v>
      </c>
      <c r="B7" s="19">
        <f>Scenarios!D9</f>
        <v/>
      </c>
      <c r="C7" s="19">
        <f>Scenarios!D13</f>
        <v/>
      </c>
      <c r="D7" s="19">
        <f>Scenarios!D17</f>
        <v/>
      </c>
      <c r="N7" s="20" t="n">
        <v>2027</v>
      </c>
      <c r="O7" s="19">
        <f>'Income Statement'!D7</f>
        <v/>
      </c>
      <c r="P7" s="19">
        <f>'Income Statement'!D8</f>
        <v/>
      </c>
      <c r="Q7" s="19">
        <f>'Income Statement'!D9</f>
        <v/>
      </c>
    </row>
    <row r="8">
      <c r="A8" s="20" t="n">
        <v>2028</v>
      </c>
      <c r="B8" s="19">
        <f>Scenarios!E9</f>
        <v/>
      </c>
      <c r="C8" s="19">
        <f>Scenarios!E13</f>
        <v/>
      </c>
      <c r="D8" s="19">
        <f>Scenarios!E17</f>
        <v/>
      </c>
      <c r="N8" s="20" t="n">
        <v>2028</v>
      </c>
      <c r="O8" s="19">
        <f>'Income Statement'!E7</f>
        <v/>
      </c>
      <c r="P8" s="19">
        <f>'Income Statement'!E8</f>
        <v/>
      </c>
      <c r="Q8" s="19">
        <f>'Income Statement'!E9</f>
        <v/>
      </c>
    </row>
    <row r="9">
      <c r="A9" s="20" t="n">
        <v>2029</v>
      </c>
      <c r="B9" s="19">
        <f>Scenarios!F9</f>
        <v/>
      </c>
      <c r="C9" s="19">
        <f>Scenarios!F13</f>
        <v/>
      </c>
      <c r="D9" s="19">
        <f>Scenarios!F17</f>
        <v/>
      </c>
      <c r="N9" s="20" t="n">
        <v>2029</v>
      </c>
      <c r="O9" s="19">
        <f>'Income Statement'!F7</f>
        <v/>
      </c>
      <c r="P9" s="19">
        <f>'Income Statement'!F8</f>
        <v/>
      </c>
      <c r="Q9" s="19">
        <f>'Income Statement'!F9</f>
        <v/>
      </c>
    </row>
    <row r="10">
      <c r="A10" s="20" t="n">
        <v>2030</v>
      </c>
      <c r="B10" s="19">
        <f>Scenarios!G9</f>
        <v/>
      </c>
      <c r="C10" s="19">
        <f>Scenarios!G13</f>
        <v/>
      </c>
      <c r="D10" s="19">
        <f>Scenarios!G17</f>
        <v/>
      </c>
      <c r="N10" s="20" t="n">
        <v>2030</v>
      </c>
      <c r="O10" s="19">
        <f>'Income Statement'!G7</f>
        <v/>
      </c>
      <c r="P10" s="19">
        <f>'Income Statement'!G8</f>
        <v/>
      </c>
      <c r="Q10" s="19">
        <f>'Income Statement'!G9</f>
        <v/>
      </c>
    </row>
    <row r="22">
      <c r="A22" s="9" t="inlineStr">
        <is>
          <t>Year (15yr)</t>
        </is>
      </c>
      <c r="B22" s="9" t="inlineStr">
        <is>
          <t>kWh Revenue</t>
        </is>
      </c>
      <c r="N22" s="9" t="inlineStr">
        <is>
          <t>Year</t>
        </is>
      </c>
      <c r="O22" s="9" t="inlineStr">
        <is>
          <t>EBIT</t>
        </is>
      </c>
      <c r="P22" s="9" t="inlineStr">
        <is>
          <t>Net Income</t>
        </is>
      </c>
    </row>
    <row r="23">
      <c r="A23" s="20">
        <f>A81</f>
        <v/>
      </c>
      <c r="B23" s="22">
        <f>C81</f>
        <v/>
      </c>
      <c r="N23" s="20" t="n">
        <v>2026</v>
      </c>
      <c r="O23" s="19">
        <f>'Income Statement'!C27</f>
        <v/>
      </c>
      <c r="P23" s="19">
        <f>'Income Statement'!C36</f>
        <v/>
      </c>
    </row>
    <row r="24">
      <c r="A24" s="20">
        <f>A82</f>
        <v/>
      </c>
      <c r="B24" s="22">
        <f>C82</f>
        <v/>
      </c>
      <c r="N24" s="20" t="n">
        <v>2027</v>
      </c>
      <c r="O24" s="19">
        <f>'Income Statement'!D27</f>
        <v/>
      </c>
      <c r="P24" s="19">
        <f>'Income Statement'!D36</f>
        <v/>
      </c>
    </row>
    <row r="25">
      <c r="A25" s="20">
        <f>A83</f>
        <v/>
      </c>
      <c r="B25" s="22">
        <f>C83</f>
        <v/>
      </c>
      <c r="N25" s="20" t="n">
        <v>2028</v>
      </c>
      <c r="O25" s="19">
        <f>'Income Statement'!E27</f>
        <v/>
      </c>
      <c r="P25" s="19">
        <f>'Income Statement'!E36</f>
        <v/>
      </c>
    </row>
    <row r="26">
      <c r="A26" s="20">
        <f>A84</f>
        <v/>
      </c>
      <c r="B26" s="22">
        <f>C84</f>
        <v/>
      </c>
      <c r="N26" s="20" t="n">
        <v>2029</v>
      </c>
      <c r="O26" s="19">
        <f>'Income Statement'!F27</f>
        <v/>
      </c>
      <c r="P26" s="19">
        <f>'Income Statement'!F36</f>
        <v/>
      </c>
    </row>
    <row r="27">
      <c r="A27" s="20">
        <f>A85</f>
        <v/>
      </c>
      <c r="B27" s="22">
        <f>C85</f>
        <v/>
      </c>
      <c r="N27" s="20" t="n">
        <v>2030</v>
      </c>
      <c r="O27" s="19">
        <f>'Income Statement'!G27</f>
        <v/>
      </c>
      <c r="P27" s="19">
        <f>'Income Statement'!G36</f>
        <v/>
      </c>
    </row>
    <row r="28">
      <c r="A28" s="20">
        <f>A86</f>
        <v/>
      </c>
      <c r="B28" s="22">
        <f>C86</f>
        <v/>
      </c>
    </row>
    <row r="29">
      <c r="A29" s="20">
        <f>A87</f>
        <v/>
      </c>
      <c r="B29" s="22">
        <f>C87</f>
        <v/>
      </c>
    </row>
    <row r="30">
      <c r="A30" s="20">
        <f>A88</f>
        <v/>
      </c>
      <c r="B30" s="22">
        <f>C88</f>
        <v/>
      </c>
    </row>
    <row r="31">
      <c r="A31" s="20">
        <f>A89</f>
        <v/>
      </c>
      <c r="B31" s="22">
        <f>C89</f>
        <v/>
      </c>
    </row>
    <row r="32">
      <c r="A32" s="20">
        <f>A90</f>
        <v/>
      </c>
      <c r="B32" s="22">
        <f>C90</f>
        <v/>
      </c>
    </row>
    <row r="33">
      <c r="A33" s="20">
        <f>A91</f>
        <v/>
      </c>
      <c r="B33" s="22">
        <f>C91</f>
        <v/>
      </c>
    </row>
    <row r="34">
      <c r="A34" s="20">
        <f>A92</f>
        <v/>
      </c>
      <c r="B34" s="22">
        <f>C92</f>
        <v/>
      </c>
    </row>
    <row r="35">
      <c r="A35" s="20">
        <f>A93</f>
        <v/>
      </c>
      <c r="B35" s="22">
        <f>C93</f>
        <v/>
      </c>
    </row>
    <row r="36">
      <c r="A36" s="20">
        <f>A94</f>
        <v/>
      </c>
      <c r="B36" s="22">
        <f>C94</f>
        <v/>
      </c>
    </row>
    <row r="37">
      <c r="A37" s="20">
        <f>A95</f>
        <v/>
      </c>
      <c r="B37" s="22">
        <f>C95</f>
        <v/>
      </c>
    </row>
    <row r="39">
      <c r="A39" s="9" t="inlineStr">
        <is>
          <t>Year</t>
        </is>
      </c>
      <c r="B39" s="9" t="inlineStr">
        <is>
          <t>Funds Raised</t>
        </is>
      </c>
      <c r="N39" s="62" t="inlineStr">
        <is>
          <t>KEY VALUATION METRICS</t>
        </is>
      </c>
      <c r="O39" s="2" t="n"/>
      <c r="P39" s="2" t="n"/>
      <c r="Q39" s="2" t="n"/>
    </row>
    <row r="40">
      <c r="A40" s="20" t="n">
        <v>2026</v>
      </c>
      <c r="B40" s="19">
        <f>Scenarios!C12</f>
        <v/>
      </c>
      <c r="N40" s="8" t="inlineStr">
        <is>
          <t>Equity Value Today</t>
        </is>
      </c>
      <c r="O40" s="63">
        <f>IF(ISNUMBER(Valuation!C44),Valuation!C44,0)</f>
        <v/>
      </c>
      <c r="P40" s="64" t="n"/>
      <c r="Q40" s="64" t="n"/>
    </row>
    <row r="41">
      <c r="A41" s="20" t="n">
        <v>2027</v>
      </c>
      <c r="B41" s="19">
        <f>Scenarios!D12</f>
        <v/>
      </c>
      <c r="N41" s="8" t="inlineStr">
        <is>
          <t>Exit Valuation (Year 5)</t>
        </is>
      </c>
      <c r="O41" s="63">
        <f>IF(ISNUMBER(Valuation!H27),Valuation!H27,0)</f>
        <v/>
      </c>
      <c r="P41" s="64" t="n"/>
      <c r="Q41" s="64" t="n"/>
    </row>
    <row r="42">
      <c r="A42" s="20" t="n">
        <v>2028</v>
      </c>
      <c r="B42" s="19">
        <f>Scenarios!E12</f>
        <v/>
      </c>
      <c r="N42" s="8" t="inlineStr">
        <is>
          <t>Investor IRR</t>
        </is>
      </c>
      <c r="O42" s="65">
        <f>IF(ISNUMBER(Valuation!C45),Valuation!C45,0)</f>
        <v/>
      </c>
      <c r="P42" s="64" t="n"/>
      <c r="Q42" s="64" t="n"/>
    </row>
    <row r="43">
      <c r="A43" s="20" t="n">
        <v>2029</v>
      </c>
      <c r="B43" s="19">
        <f>Scenarios!F12</f>
        <v/>
      </c>
      <c r="N43" s="8" t="inlineStr">
        <is>
          <t>Cash-on-Cash Multiple</t>
        </is>
      </c>
      <c r="O43" s="66">
        <f>IF(ISNUMBER(Valuation!C46),Valuation!C46,0)</f>
        <v/>
      </c>
      <c r="P43" s="64" t="n"/>
      <c r="Q43" s="64" t="n"/>
    </row>
    <row r="44">
      <c r="A44" s="20" t="n">
        <v>2030</v>
      </c>
      <c r="B44" s="19">
        <f>Scenarios!G12</f>
        <v/>
      </c>
      <c r="N44" s="8" t="inlineStr">
        <is>
          <t>Exit Proceeds (£250K inv)</t>
        </is>
      </c>
      <c r="O44" s="63">
        <f>IF(ISNUMBER(Valuation!C47),Valuation!C47,0)</f>
        <v/>
      </c>
      <c r="P44" s="64" t="n"/>
      <c r="Q44" s="64" t="n"/>
    </row>
    <row r="45">
      <c r="N45" s="8" t="inlineStr">
        <is>
          <t>EV/Revenue Multiple</t>
        </is>
      </c>
      <c r="O45" s="67" t="n">
        <v>7</v>
      </c>
      <c r="P45" s="64" t="n"/>
      <c r="Q45" s="64" t="n"/>
    </row>
    <row r="56">
      <c r="A56" s="9" t="inlineStr">
        <is>
          <t>Shareholder</t>
        </is>
      </c>
      <c r="B56" s="9" t="inlineStr">
        <is>
          <t>Ownership %</t>
        </is>
      </c>
      <c r="N56" s="68" t="inlineStr">
        <is>
          <t>INVESTOR POTENTIAL RETURNS</t>
        </is>
      </c>
      <c r="O56" s="54" t="n"/>
      <c r="P56" s="54" t="n"/>
      <c r="Q56" s="54" t="n"/>
      <c r="R56" s="54" t="n"/>
      <c r="S56" s="54" t="n"/>
    </row>
    <row r="57">
      <c r="A57" s="3" t="inlineStr">
        <is>
          <t>Founders</t>
        </is>
      </c>
      <c r="B57" s="39">
        <f>'Cap Table'!C29</f>
        <v/>
      </c>
      <c r="N57" s="69" t="inlineStr">
        <is>
          <t>Investment (£)</t>
        </is>
      </c>
      <c r="O57" s="69" t="inlineStr">
        <is>
          <t>Equity at Entry</t>
        </is>
      </c>
      <c r="P57" s="69" t="inlineStr">
        <is>
          <t>Equity at Exit</t>
        </is>
      </c>
      <c r="Q57" s="69" t="inlineStr">
        <is>
          <t>Exit Proceeds (£)</t>
        </is>
      </c>
      <c r="R57" s="69" t="inlineStr">
        <is>
          <t>Cash-on-Cash</t>
        </is>
      </c>
      <c r="S57" s="69" t="inlineStr">
        <is>
          <t>IRR (Approx)</t>
        </is>
      </c>
    </row>
    <row r="58">
      <c r="A58" s="3" t="inlineStr">
        <is>
          <t>Pre-seed T1</t>
        </is>
      </c>
      <c r="B58" s="39">
        <f>'Cap Table'!C30</f>
        <v/>
      </c>
      <c r="N58" s="10" t="n">
        <v>50000</v>
      </c>
      <c r="O58" s="39">
        <f>IF(Valuation!$C$34&gt;0,Valuation!$C$35*(N58/Valuation!$C$34),0)</f>
        <v/>
      </c>
      <c r="P58" s="40">
        <f>IF(AND(ISNUMBER(Valuation!$C$35),Valuation!$C$35&gt;0),O58*(Valuation!$C$37/Valuation!$C$35),0)</f>
        <v/>
      </c>
      <c r="Q58" s="22">
        <f>IF(ISNUMBER(Valuation!$H$27),P58*Valuation!$H$27,0)</f>
        <v/>
      </c>
      <c r="R58" s="70">
        <f>IF(N58&gt;0,Q58/N58,0)</f>
        <v/>
      </c>
      <c r="S58" s="40">
        <f>IF(Q58&gt;0,IRR({-N58,0,0,0,0,Q58}),0)</f>
        <v/>
      </c>
    </row>
    <row r="59">
      <c r="A59" s="3" t="inlineStr">
        <is>
          <t>Pre-seed T2</t>
        </is>
      </c>
      <c r="B59" s="39">
        <f>'Cap Table'!C31</f>
        <v/>
      </c>
      <c r="N59" s="10" t="n">
        <v>100000</v>
      </c>
      <c r="O59" s="39">
        <f>IF(Valuation!$C$34&gt;0,Valuation!$C$35*(N59/Valuation!$C$34),0)</f>
        <v/>
      </c>
      <c r="P59" s="40">
        <f>IF(AND(ISNUMBER(Valuation!$C$35),Valuation!$C$35&gt;0),O59*(Valuation!$C$37/Valuation!$C$35),0)</f>
        <v/>
      </c>
      <c r="Q59" s="22">
        <f>IF(ISNUMBER(Valuation!$H$27),P59*Valuation!$H$27,0)</f>
        <v/>
      </c>
      <c r="R59" s="70">
        <f>IF(N59&gt;0,Q59/N59,0)</f>
        <v/>
      </c>
      <c r="S59" s="40">
        <f>IF(Q59&gt;0,IRR({-N59,0,0,0,0,Q59}),0)</f>
        <v/>
      </c>
    </row>
    <row r="60">
      <c r="A60" s="3" t="inlineStr">
        <is>
          <t>Seed</t>
        </is>
      </c>
      <c r="B60" s="39">
        <f>'Cap Table'!C32</f>
        <v/>
      </c>
      <c r="N60" s="10" t="n">
        <v>250000</v>
      </c>
      <c r="O60" s="39">
        <f>IF(Valuation!$C$34&gt;0,Valuation!$C$35*(N60/Valuation!$C$34),0)</f>
        <v/>
      </c>
      <c r="P60" s="40">
        <f>IF(AND(ISNUMBER(Valuation!$C$35),Valuation!$C$35&gt;0),O60*(Valuation!$C$37/Valuation!$C$35),0)</f>
        <v/>
      </c>
      <c r="Q60" s="22">
        <f>IF(ISNUMBER(Valuation!$H$27),P60*Valuation!$H$27,0)</f>
        <v/>
      </c>
      <c r="R60" s="70">
        <f>IF(N60&gt;0,Q60/N60,0)</f>
        <v/>
      </c>
      <c r="S60" s="40">
        <f>IF(Q60&gt;0,IRR({-N60,0,0,0,0,Q60}),0)</f>
        <v/>
      </c>
    </row>
    <row r="61">
      <c r="A61" s="3" t="inlineStr">
        <is>
          <t>Series A T1</t>
        </is>
      </c>
      <c r="B61" s="39">
        <f>'Cap Table'!C33</f>
        <v/>
      </c>
      <c r="N61" s="10" t="n">
        <v>500000</v>
      </c>
      <c r="O61" s="39">
        <f>IF(Valuation!$C$34&gt;0,Valuation!$C$35*(N61/Valuation!$C$34),0)</f>
        <v/>
      </c>
      <c r="P61" s="40">
        <f>IF(AND(ISNUMBER(Valuation!$C$35),Valuation!$C$35&gt;0),O61*(Valuation!$C$37/Valuation!$C$35),0)</f>
        <v/>
      </c>
      <c r="Q61" s="22">
        <f>IF(ISNUMBER(Valuation!$H$27),P61*Valuation!$H$27,0)</f>
        <v/>
      </c>
      <c r="R61" s="70">
        <f>IF(N61&gt;0,Q61/N61,0)</f>
        <v/>
      </c>
      <c r="S61" s="40">
        <f>IF(Q61&gt;0,IRR({-N61,0,0,0,0,Q61}),0)</f>
        <v/>
      </c>
    </row>
    <row r="62">
      <c r="A62" s="3" t="inlineStr">
        <is>
          <t>Series A T2</t>
        </is>
      </c>
      <c r="B62" s="39">
        <f>'Cap Table'!C34</f>
        <v/>
      </c>
      <c r="N62" s="10" t="n">
        <v>1000000</v>
      </c>
      <c r="O62" s="39">
        <f>IF(Valuation!$C$34&gt;0,Valuation!$C$35*(N62/Valuation!$C$34),0)</f>
        <v/>
      </c>
      <c r="P62" s="40">
        <f>IF(AND(ISNUMBER(Valuation!$C$35),Valuation!$C$35&gt;0),O62*(Valuation!$C$37/Valuation!$C$35),0)</f>
        <v/>
      </c>
      <c r="Q62" s="22">
        <f>IF(ISNUMBER(Valuation!$H$27),P62*Valuation!$H$27,0)</f>
        <v/>
      </c>
      <c r="R62" s="70">
        <f>IF(N62&gt;0,Q62/N62,0)</f>
        <v/>
      </c>
      <c r="S62" s="40">
        <f>IF(Q62&gt;0,IRR({-N62,0,0,0,0,Q62}),0)</f>
        <v/>
      </c>
    </row>
    <row r="63">
      <c r="A63" s="3" t="inlineStr">
        <is>
          <t>Series B</t>
        </is>
      </c>
      <c r="B63" s="39">
        <f>'Cap Table'!C35</f>
        <v/>
      </c>
    </row>
    <row r="73">
      <c r="A73" s="71" t="inlineStr">
        <is>
          <t>Note: All charts update dynamically when the Scenario dropdown (Assumptions!C4) changes between Worst / Base / Best case.</t>
        </is>
      </c>
    </row>
    <row r="80">
      <c r="A80" s="18" t="inlineStr">
        <is>
          <t>Year (Extended)</t>
        </is>
      </c>
      <c r="B80" s="18" t="inlineStr">
        <is>
          <t>Cum. Funds Raised</t>
        </is>
      </c>
      <c r="C80" s="18" t="inlineStr">
        <is>
          <t>kWh Revenue (£)</t>
        </is>
      </c>
    </row>
    <row r="81">
      <c r="A81" s="20" t="n">
        <v>2026</v>
      </c>
      <c r="B81" s="19">
        <f>Scenarios!C12</f>
        <v/>
      </c>
      <c r="C81" s="19">
        <f>'Income Statement'!C9</f>
        <v/>
      </c>
    </row>
    <row r="82">
      <c r="A82" s="20" t="n">
        <v>2027</v>
      </c>
      <c r="B82" s="19">
        <f>Scenarios!D12</f>
        <v/>
      </c>
      <c r="C82" s="19">
        <f>'Income Statement'!D9</f>
        <v/>
      </c>
    </row>
    <row r="83">
      <c r="A83" s="20" t="n">
        <v>2028</v>
      </c>
      <c r="B83" s="19">
        <f>Scenarios!E12</f>
        <v/>
      </c>
      <c r="C83" s="19">
        <f>'Income Statement'!E9</f>
        <v/>
      </c>
    </row>
    <row r="84">
      <c r="A84" s="20" t="n">
        <v>2029</v>
      </c>
      <c r="B84" s="19">
        <f>Scenarios!F12</f>
        <v/>
      </c>
      <c r="C84" s="19">
        <f>'Income Statement'!F9</f>
        <v/>
      </c>
    </row>
    <row r="85">
      <c r="A85" s="20" t="n">
        <v>2030</v>
      </c>
      <c r="B85" s="19">
        <f>Scenarios!G12</f>
        <v/>
      </c>
      <c r="C85" s="19">
        <f>'Income Statement'!G9</f>
        <v/>
      </c>
    </row>
    <row r="86">
      <c r="A86" s="4" t="n">
        <v>2031</v>
      </c>
      <c r="B86" s="22">
        <f>B85*(1+0.6)</f>
        <v/>
      </c>
      <c r="C86" s="22">
        <f>C85+B86*0.0212</f>
        <v/>
      </c>
    </row>
    <row r="87">
      <c r="A87" s="4" t="n">
        <v>2032</v>
      </c>
      <c r="B87" s="22">
        <f>B86*(1+0.6)</f>
        <v/>
      </c>
      <c r="C87" s="22">
        <f>C86+B87*0.0212</f>
        <v/>
      </c>
    </row>
    <row r="88">
      <c r="A88" s="4" t="n">
        <v>2033</v>
      </c>
      <c r="B88" s="22">
        <f>B87*(1+0.6)</f>
        <v/>
      </c>
      <c r="C88" s="22">
        <f>C87+B88*0.0212</f>
        <v/>
      </c>
    </row>
    <row r="89">
      <c r="A89" s="4" t="n">
        <v>2034</v>
      </c>
      <c r="B89" s="22">
        <f>B88*(1+0.6)</f>
        <v/>
      </c>
      <c r="C89" s="22">
        <f>C88+B89*0.0212</f>
        <v/>
      </c>
    </row>
    <row r="90">
      <c r="A90" s="4" t="n">
        <v>2035</v>
      </c>
      <c r="B90" s="22">
        <f>B89*(1+0.6)</f>
        <v/>
      </c>
      <c r="C90" s="22">
        <f>C89+B90*0.0212</f>
        <v/>
      </c>
    </row>
    <row r="91">
      <c r="A91" s="4" t="n">
        <v>2036</v>
      </c>
      <c r="B91" s="22">
        <f>B90*(1+0.6)</f>
        <v/>
      </c>
      <c r="C91" s="22">
        <f>C90+B91*0.0212</f>
        <v/>
      </c>
    </row>
    <row r="92">
      <c r="A92" s="4" t="n">
        <v>2037</v>
      </c>
      <c r="B92" s="22">
        <f>B91*(1+0.6)</f>
        <v/>
      </c>
      <c r="C92" s="22">
        <f>C91+B92*0.0212</f>
        <v/>
      </c>
    </row>
    <row r="93">
      <c r="A93" s="4" t="n">
        <v>2038</v>
      </c>
      <c r="B93" s="22">
        <f>B92*(1+0.6)</f>
        <v/>
      </c>
      <c r="C93" s="22">
        <f>C92+B93*0.0212</f>
        <v/>
      </c>
    </row>
    <row r="94">
      <c r="A94" s="4" t="n">
        <v>2039</v>
      </c>
      <c r="B94" s="22">
        <f>B93*(1+0.6)</f>
        <v/>
      </c>
      <c r="C94" s="22">
        <f>C93+B94*0.0212</f>
        <v/>
      </c>
    </row>
    <row r="95">
      <c r="A95" s="4" t="n">
        <v>2040</v>
      </c>
      <c r="B95" s="22">
        <f>B94*(1+0.6)</f>
        <v/>
      </c>
      <c r="C95" s="22">
        <f>C94+B95*0.0212</f>
        <v/>
      </c>
    </row>
  </sheetData>
  <conditionalFormatting sqref="O42">
    <cfRule type="colorScale" priority="1">
      <colorScale>
        <cfvo type="num" val="0"/>
        <cfvo type="num" val="0.3"/>
        <cfvo type="num" val="0.5"/>
        <color rgb="00FFC7CE"/>
        <color rgb="00FFEB9C"/>
        <color rgb="00C6EFCE"/>
      </colorScale>
    </cfRule>
  </conditionalFormatting>
  <conditionalFormatting sqref="S58:S62">
    <cfRule type="colorScale" priority="2">
      <colorScale>
        <cfvo type="num" val="0"/>
        <cfvo type="num" val="0.3"/>
        <cfvo type="num" val="0.6"/>
        <color rgb="00FFC7CE"/>
        <color rgb="00FFEB9C"/>
        <color rgb="00C6EFCE"/>
      </colorScale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2026-04-04T15:05:00Z</dcterms:created>
  <dcterms:modified xsi:type="dcterms:W3CDTF">2026-04-04T15:05:00Z</dcterms:modified>
</cp:coreProperties>
</file>